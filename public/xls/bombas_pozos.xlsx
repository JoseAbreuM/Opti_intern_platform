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LEJANDRO\"/>
    </mc:Choice>
  </mc:AlternateContent>
  <xr:revisionPtr revIDLastSave="0" documentId="13_ncr:1_{F1B13A11-35C5-4FC7-B29F-D0513831B433}" xr6:coauthVersionLast="47" xr6:coauthVersionMax="47" xr10:uidLastSave="{00000000-0000-0000-0000-000000000000}"/>
  <bookViews>
    <workbookView xWindow="-120" yWindow="-120" windowWidth="20730" windowHeight="11040" xr2:uid="{395E55AE-0347-4109-9764-C711B2DBB58A}"/>
  </bookViews>
  <sheets>
    <sheet name="Hoja1" sheetId="1" r:id="rId1"/>
  </sheets>
  <externalReferences>
    <externalReference r:id="rId2"/>
  </externalReferences>
  <definedNames>
    <definedName name="BOMBAS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7" i="1" l="1"/>
  <c r="E146" i="1"/>
  <c r="E145" i="1"/>
  <c r="E144" i="1"/>
  <c r="E143" i="1"/>
  <c r="E142" i="1"/>
  <c r="E141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<sst xmlns="http://schemas.openxmlformats.org/spreadsheetml/2006/main" count="554" uniqueCount="217">
  <si>
    <t>POZO</t>
  </si>
  <si>
    <t>MFB198</t>
  </si>
  <si>
    <t>MFB270</t>
  </si>
  <si>
    <t>MFB273</t>
  </si>
  <si>
    <t>MFB231</t>
  </si>
  <si>
    <t>MFB285</t>
  </si>
  <si>
    <t>MFB0790</t>
  </si>
  <si>
    <t>MFB0723</t>
  </si>
  <si>
    <t>MFB0820</t>
  </si>
  <si>
    <t>MFB0952</t>
  </si>
  <si>
    <t>MFB0871</t>
  </si>
  <si>
    <t>MFB216</t>
  </si>
  <si>
    <t>MFB0899</t>
  </si>
  <si>
    <t>MFB276</t>
  </si>
  <si>
    <t>MFB299</t>
  </si>
  <si>
    <t>MFB225</t>
  </si>
  <si>
    <t>MFB235</t>
  </si>
  <si>
    <t>MFB327</t>
  </si>
  <si>
    <t>MFB456</t>
  </si>
  <si>
    <t>MFB470</t>
  </si>
  <si>
    <t>MFB479</t>
  </si>
  <si>
    <t>MFB480</t>
  </si>
  <si>
    <t>MFB501</t>
  </si>
  <si>
    <t>MFB510</t>
  </si>
  <si>
    <t>MFB522</t>
  </si>
  <si>
    <t>MFB541</t>
  </si>
  <si>
    <t>MFB544</t>
  </si>
  <si>
    <t>MFB0611</t>
  </si>
  <si>
    <t>MFB0637</t>
  </si>
  <si>
    <t>MFB0653</t>
  </si>
  <si>
    <t>MFB0671</t>
  </si>
  <si>
    <t>MFB0687</t>
  </si>
  <si>
    <t>MFB0689</t>
  </si>
  <si>
    <t>MFB0702</t>
  </si>
  <si>
    <t>MFB0708</t>
  </si>
  <si>
    <t>MFB0710</t>
  </si>
  <si>
    <t>MFB0712</t>
  </si>
  <si>
    <t>MFB0717</t>
  </si>
  <si>
    <t>MFB0718</t>
  </si>
  <si>
    <t>MFB0722</t>
  </si>
  <si>
    <t>MFB0724</t>
  </si>
  <si>
    <t>MFB0730</t>
  </si>
  <si>
    <t>MFB0747</t>
  </si>
  <si>
    <t>MFB0748</t>
  </si>
  <si>
    <t>MFB0757</t>
  </si>
  <si>
    <t>MFB0759</t>
  </si>
  <si>
    <t>MFB0760</t>
  </si>
  <si>
    <t>MFB0761</t>
  </si>
  <si>
    <t>MFB0762</t>
  </si>
  <si>
    <t>MFB0763</t>
  </si>
  <si>
    <t>MFB 764</t>
  </si>
  <si>
    <t>MFB 767</t>
  </si>
  <si>
    <t>MFB0770</t>
  </si>
  <si>
    <t>MFB0771</t>
  </si>
  <si>
    <t>MFB0775</t>
  </si>
  <si>
    <t>MFB0789</t>
  </si>
  <si>
    <t>MFB0792</t>
  </si>
  <si>
    <t>MFB0805</t>
  </si>
  <si>
    <t>MFB0816</t>
  </si>
  <si>
    <t>MFB0822</t>
  </si>
  <si>
    <t>MFB0830</t>
  </si>
  <si>
    <t>MFB0832</t>
  </si>
  <si>
    <t>MFB0834</t>
  </si>
  <si>
    <t>MFB0835</t>
  </si>
  <si>
    <t>MFB0840</t>
  </si>
  <si>
    <t>MFB0842</t>
  </si>
  <si>
    <t>MFB0844</t>
  </si>
  <si>
    <t>MFB0848</t>
  </si>
  <si>
    <t>MFB0851</t>
  </si>
  <si>
    <t>MFB0853</t>
  </si>
  <si>
    <t>MFB0855</t>
  </si>
  <si>
    <t>MFB0860</t>
  </si>
  <si>
    <t>MFB0861</t>
  </si>
  <si>
    <t>MFB0862</t>
  </si>
  <si>
    <t>MFB0864</t>
  </si>
  <si>
    <t>MFB0865</t>
  </si>
  <si>
    <t>MFB0869</t>
  </si>
  <si>
    <t>MFB0875</t>
  </si>
  <si>
    <t>MFB0889</t>
  </si>
  <si>
    <t>MFB0892</t>
  </si>
  <si>
    <t>MFB0893</t>
  </si>
  <si>
    <t>MFB0896</t>
  </si>
  <si>
    <t>MFB0902</t>
  </si>
  <si>
    <t>MFB0908</t>
  </si>
  <si>
    <t>MFB0911</t>
  </si>
  <si>
    <t>MFB0913</t>
  </si>
  <si>
    <t>MFB0915</t>
  </si>
  <si>
    <t>MFB0916</t>
  </si>
  <si>
    <t>MFB0919</t>
  </si>
  <si>
    <t>MFB0922</t>
  </si>
  <si>
    <t>MFB0933</t>
  </si>
  <si>
    <t>MFB0934</t>
  </si>
  <si>
    <t>MFB0935</t>
  </si>
  <si>
    <t>MFB0938</t>
  </si>
  <si>
    <t>MFB0942</t>
  </si>
  <si>
    <t>MFB0944</t>
  </si>
  <si>
    <t>MFB0947</t>
  </si>
  <si>
    <t>MFB0948</t>
  </si>
  <si>
    <t>MFB0950</t>
  </si>
  <si>
    <t>MFB0951</t>
  </si>
  <si>
    <t>MFB0953</t>
  </si>
  <si>
    <t>MFB0955</t>
  </si>
  <si>
    <t>MFB0957</t>
  </si>
  <si>
    <t>MFB0960</t>
  </si>
  <si>
    <t>MFB0963</t>
  </si>
  <si>
    <t>MFB0966</t>
  </si>
  <si>
    <t>MFB0968</t>
  </si>
  <si>
    <t>MFB0969</t>
  </si>
  <si>
    <t>MFB0970</t>
  </si>
  <si>
    <t>MFB0971</t>
  </si>
  <si>
    <t>MFB0652</t>
  </si>
  <si>
    <t>MFB0665</t>
  </si>
  <si>
    <t>MFB0672</t>
  </si>
  <si>
    <t>MFB0679</t>
  </si>
  <si>
    <t>MFB0737</t>
  </si>
  <si>
    <t>MFB0823</t>
  </si>
  <si>
    <t>MFB0846</t>
  </si>
  <si>
    <t>MFB217</t>
  </si>
  <si>
    <t>MFB268</t>
  </si>
  <si>
    <t>MFB0627</t>
  </si>
  <si>
    <t>MFB0656</t>
  </si>
  <si>
    <t>MFB0673</t>
  </si>
  <si>
    <t>MFB0714</t>
  </si>
  <si>
    <t>MFB0831</t>
  </si>
  <si>
    <t>MFB0939</t>
  </si>
  <si>
    <t>MFB0943</t>
  </si>
  <si>
    <t>MFB0946</t>
  </si>
  <si>
    <t>MFB0894</t>
  </si>
  <si>
    <t>MFB0897</t>
  </si>
  <si>
    <t>MFB338</t>
  </si>
  <si>
    <t>MFB300</t>
  </si>
  <si>
    <t>MFB0692</t>
  </si>
  <si>
    <t>MFB0726</t>
  </si>
  <si>
    <t>MFB0906</t>
  </si>
  <si>
    <t>MFB509</t>
  </si>
  <si>
    <t>MFB0887</t>
  </si>
  <si>
    <t>MFB0928</t>
  </si>
  <si>
    <t>MFB0667</t>
  </si>
  <si>
    <t>MFB0776</t>
  </si>
  <si>
    <t>MFB0777</t>
  </si>
  <si>
    <t>MFB0691</t>
  </si>
  <si>
    <t>MFB0961</t>
  </si>
  <si>
    <t>MFB0895</t>
  </si>
  <si>
    <t>MFB0964</t>
  </si>
  <si>
    <t>MFB0662</t>
  </si>
  <si>
    <t>MFB0706</t>
  </si>
  <si>
    <t>MFB0877</t>
  </si>
  <si>
    <t>MARCA</t>
  </si>
  <si>
    <t>MODELO</t>
  </si>
  <si>
    <t>FECHA DE INSTALACIÓN</t>
  </si>
  <si>
    <t>TIEMPO DE VIDA (DÍAS)</t>
  </si>
  <si>
    <t>OBSERVACIONES</t>
  </si>
  <si>
    <t>ARTEMIS</t>
  </si>
  <si>
    <t>18 1600</t>
  </si>
  <si>
    <t>ACTIVO</t>
  </si>
  <si>
    <t>PCM</t>
  </si>
  <si>
    <t>32 E 1600</t>
  </si>
  <si>
    <t>22-02-26 POZO DIFERIDO ARENADO</t>
  </si>
  <si>
    <t>24 E 1800</t>
  </si>
  <si>
    <t>EXCLUIDO DE POTENCIAL POR ALTO % AYS 98%. EL 18/11/25 Y EL 04/01/26 CAE  POR BCP MALA</t>
  </si>
  <si>
    <t xml:space="preserve">EXCLUIDO DE POTENCIAL POR ALTO % AYS 98%. EL 18/11/25 Y EL 04/01/26 </t>
  </si>
  <si>
    <t>24 E 2000</t>
  </si>
  <si>
    <t>HEBEI JERRY</t>
  </si>
  <si>
    <t>27 1500</t>
  </si>
  <si>
    <t>60 E 1800</t>
  </si>
  <si>
    <t>16/09: EN SECUENCIA LYC / DIF ERIDO A MAYOR/ QUE DIF POR ARENAMIENTO</t>
  </si>
  <si>
    <t>27 1828</t>
  </si>
  <si>
    <t>45 1500</t>
  </si>
  <si>
    <t>45 E 1600</t>
  </si>
  <si>
    <t>TALLER</t>
  </si>
  <si>
    <t>ARHA 3-1/2 X 2-1/4 X 18</t>
  </si>
  <si>
    <t>POZO CAT 3 ARENADO EL 15-02-26</t>
  </si>
  <si>
    <t>86 1500</t>
  </si>
  <si>
    <t>EXCLUIDO DE POTENCIAL POR ALTO %AYS 18/11/25</t>
  </si>
  <si>
    <t>TIERRA ALTA</t>
  </si>
  <si>
    <t>22 1800</t>
  </si>
  <si>
    <t>24 2000</t>
  </si>
  <si>
    <t>32 1600</t>
  </si>
  <si>
    <t>06/02/26 DIFERIDO ARENADO</t>
  </si>
  <si>
    <t>EN SEC. FBY. PARA LYC/PCS - DIFERIDO A MAYOR / NO SE TRABAJARA POR AGUA</t>
  </si>
  <si>
    <t>SUBTOR</t>
  </si>
  <si>
    <t>35 1600</t>
  </si>
  <si>
    <t>EN SEC. POR TUBERÍA ROTA</t>
  </si>
  <si>
    <t>22 1500</t>
  </si>
  <si>
    <t>60 1600</t>
  </si>
  <si>
    <t>82 1500</t>
  </si>
  <si>
    <t>DIFERIDO POR POSIBLE ARENAMIENTO NO SE PUDO DESANCLAR COMPLETACION</t>
  </si>
  <si>
    <t>EN SEC. FBY PARA LYC/ DIFERIDO A MAYOR/ BOROSCOPIO</t>
  </si>
  <si>
    <t>CAVALLINO</t>
  </si>
  <si>
    <t>46 1500</t>
  </si>
  <si>
    <t>72 1600</t>
  </si>
  <si>
    <t>ACTIVO,  EL 16/02/26 PASADO A CAT3 POR 95% DE AYS.</t>
  </si>
  <si>
    <t>BOMBA MALA EL 18-02-26</t>
  </si>
  <si>
    <t>POZO INACTIVO NO SE TRABAJARA POR ALTO CORTE DE AGUA  98% EL 23-AGOSTO-25</t>
  </si>
  <si>
    <t>54 1700</t>
  </si>
  <si>
    <t>QUEDO DIFERIDO Y COMPLETADO PARA COILED TUBING</t>
  </si>
  <si>
    <t>45E1600</t>
  </si>
  <si>
    <t>03/10/18: BARIVEN POR BCP DE MEDIANO CAUDAL. RIESGO DE AGUA</t>
  </si>
  <si>
    <t>06/07/18: BARIVEN POR BCP DE MEDIANO CAUDAL. RIESGO DE AGUA</t>
  </si>
  <si>
    <t>11/08/18: BARIVEN POR BCP DE BAJO CAUDAL. RIESGO DE AGUA</t>
  </si>
  <si>
    <t>BARIVEN MTTO. RIESGO DE AGUA</t>
  </si>
  <si>
    <t>ARHA 3-1/2 X 2-1/4 X 22</t>
  </si>
  <si>
    <t>ARHA 3-1/2 X 2-1/4 X 16</t>
  </si>
  <si>
    <t>BARIVEN MTTO.FALLA AN. RIESGO DE AGUA</t>
  </si>
  <si>
    <t>DIFERIDO POR NO RECIBIR EN PUEBA DE INYECTIVIDAD, POSIBLE ARENAMIENTO</t>
  </si>
  <si>
    <t>46 1800</t>
  </si>
  <si>
    <t>INACTIVO POR ALTO % AYS</t>
  </si>
  <si>
    <t>33 1800</t>
  </si>
  <si>
    <t>EXCLUIDO DE POTENCIAL POR ALTO %AYS 17.03.25 (14,10 RTR)</t>
  </si>
  <si>
    <t>EXCLUIDO DE POTENCIAL POR ALTO %AYS 27.03.25</t>
  </si>
  <si>
    <t>66 1500</t>
  </si>
  <si>
    <t>EXCLUIDO DE POTENCIAL POR ALTO %AYS 27.02.25</t>
  </si>
  <si>
    <t>28 1500</t>
  </si>
  <si>
    <t>EXCLUIDO DE POTENCIAL POR ALTO %AYS 19/08/25 (RTR 7,10)</t>
  </si>
  <si>
    <t>EXCLUIDO DE POTENCIAL POR ALTO %AYS 30/05/25</t>
  </si>
  <si>
    <t>16-03-26 DIFERIDO ARENADO NO RECIBE EN PRUEBA DE INYECTIVIDAD</t>
  </si>
  <si>
    <t>CAB EN SITIO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</si>
</sst>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;@"/>
    <numFmt numFmtId="167" formatCode="0;[Red]0"/>
    <numFmt numFmtId="168" formatCode="#,##0;[Red]#,##0"/>
    <numFmt numFmtId="169" formatCode="#,##0.00;[Red]#,##0.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9"/>
      <name val="Calibri"/>
      <family val="2"/>
      <scheme val="minor"/>
    </font>
    <font>
      <sz val="10"/>
      <name val="Calibri"/>
      <family val="2"/>
      <scheme val="minor"/>
    </font>
    <font>
      <sz val="10"/>
      <name val="Courier"/>
      <family val="3"/>
    </font>
    <font>
      <b/>
      <sz val="10"/>
      <color indexed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46">
    <xf numFmtId="0" fontId="0" fillId="0" borderId="0" xfId="0"/>
    <xf numFmtId="165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2" xfId="1" applyFont="1" applyFill="1" applyBorder="1" applyAlignment="1">
      <alignment horizontal="center" vertical="center"/>
    </xf>
    <xf numFmtId="164" fontId="3" fillId="3" borderId="2" xfId="2" applyFont="1" applyFill="1" applyBorder="1" applyAlignment="1">
      <alignment horizontal="center" vertical="center"/>
    </xf>
    <xf numFmtId="164" fontId="3" fillId="4" borderId="2" xfId="1" applyFont="1" applyFill="1" applyBorder="1" applyAlignment="1">
      <alignment horizontal="center" vertical="center"/>
    </xf>
    <xf numFmtId="164" fontId="3" fillId="0" borderId="2" xfId="2" applyFont="1" applyFill="1" applyBorder="1" applyAlignment="1">
      <alignment horizontal="center" vertical="center"/>
    </xf>
    <xf numFmtId="164" fontId="3" fillId="3" borderId="2" xfId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 wrapText="1"/>
    </xf>
    <xf numFmtId="15" fontId="2" fillId="2" borderId="1" xfId="1" applyNumberFormat="1" applyFont="1" applyFill="1" applyBorder="1" applyAlignment="1">
      <alignment horizontal="center" vertical="center" wrapText="1"/>
    </xf>
    <xf numFmtId="164" fontId="3" fillId="0" borderId="2" xfId="3" applyFont="1" applyFill="1" applyBorder="1" applyAlignment="1" applyProtection="1">
      <alignment horizontal="center"/>
      <protection locked="0"/>
    </xf>
    <xf numFmtId="164" fontId="3" fillId="0" borderId="2" xfId="1" applyFont="1" applyFill="1" applyBorder="1" applyAlignment="1" applyProtection="1">
      <alignment horizontal="center" vertical="center" wrapText="1"/>
      <protection locked="0"/>
    </xf>
    <xf numFmtId="166" fontId="3" fillId="0" borderId="2" xfId="1" applyNumberFormat="1" applyFont="1" applyFill="1" applyBorder="1" applyAlignment="1" applyProtection="1">
      <alignment horizontal="center" vertical="center"/>
      <protection locked="0"/>
    </xf>
    <xf numFmtId="167" fontId="5" fillId="0" borderId="3" xfId="1" applyNumberFormat="1" applyFont="1" applyFill="1" applyBorder="1" applyAlignment="1" applyProtection="1">
      <alignment horizontal="center" vertical="center"/>
      <protection locked="0"/>
    </xf>
    <xf numFmtId="164" fontId="3" fillId="0" borderId="2" xfId="1" applyFont="1" applyFill="1" applyBorder="1" applyAlignment="1">
      <alignment vertical="center" wrapText="1"/>
    </xf>
    <xf numFmtId="164" fontId="3" fillId="0" borderId="3" xfId="1" applyFont="1" applyFill="1" applyBorder="1" applyAlignment="1">
      <alignment vertical="center" wrapText="1"/>
    </xf>
    <xf numFmtId="164" fontId="6" fillId="3" borderId="2" xfId="3" applyFont="1" applyFill="1" applyBorder="1" applyAlignment="1" applyProtection="1">
      <alignment horizontal="center"/>
      <protection locked="0"/>
    </xf>
    <xf numFmtId="164" fontId="6" fillId="3" borderId="2" xfId="1" applyFont="1" applyFill="1" applyBorder="1" applyAlignment="1" applyProtection="1">
      <alignment horizontal="center" vertical="center" wrapText="1"/>
      <protection locked="0"/>
    </xf>
    <xf numFmtId="166" fontId="6" fillId="3" borderId="2" xfId="1" applyNumberFormat="1" applyFont="1" applyFill="1" applyBorder="1" applyAlignment="1" applyProtection="1">
      <alignment horizontal="center" vertical="center"/>
      <protection locked="0"/>
    </xf>
    <xf numFmtId="167" fontId="7" fillId="3" borderId="3" xfId="1" applyNumberFormat="1" applyFont="1" applyFill="1" applyBorder="1" applyAlignment="1" applyProtection="1">
      <alignment horizontal="center" vertical="center"/>
      <protection locked="0"/>
    </xf>
    <xf numFmtId="164" fontId="6" fillId="3" borderId="2" xfId="2" applyFont="1" applyFill="1" applyBorder="1" applyAlignment="1">
      <alignment vertical="center" wrapText="1"/>
    </xf>
    <xf numFmtId="166" fontId="3" fillId="0" borderId="2" xfId="3" applyNumberFormat="1" applyFont="1" applyFill="1" applyBorder="1" applyAlignment="1" applyProtection="1">
      <alignment horizontal="center"/>
      <protection locked="0"/>
    </xf>
    <xf numFmtId="168" fontId="3" fillId="0" borderId="2" xfId="1" applyNumberFormat="1" applyFont="1" applyFill="1" applyBorder="1" applyAlignment="1">
      <alignment horizontal="center" vertical="center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4" fontId="8" fillId="0" borderId="5" xfId="1" applyFont="1" applyFill="1" applyBorder="1" applyAlignment="1" applyProtection="1">
      <alignment horizontal="center" vertical="center" wrapText="1"/>
      <protection locked="0"/>
    </xf>
    <xf numFmtId="168" fontId="3" fillId="4" borderId="2" xfId="1" applyNumberFormat="1" applyFont="1" applyFill="1" applyBorder="1" applyAlignment="1">
      <alignment horizontal="center" vertical="center"/>
    </xf>
    <xf numFmtId="166" fontId="3" fillId="4" borderId="2" xfId="3" applyNumberFormat="1" applyFont="1" applyFill="1" applyBorder="1" applyAlignment="1" applyProtection="1">
      <alignment horizontal="center"/>
      <protection locked="0"/>
    </xf>
    <xf numFmtId="167" fontId="5" fillId="4" borderId="3" xfId="1" applyNumberFormat="1" applyFont="1" applyFill="1" applyBorder="1" applyAlignment="1" applyProtection="1">
      <alignment horizontal="center" vertical="center"/>
      <protection locked="0"/>
    </xf>
    <xf numFmtId="164" fontId="8" fillId="0" borderId="4" xfId="1" applyFont="1" applyFill="1" applyBorder="1" applyAlignment="1" applyProtection="1">
      <alignment horizontal="center" vertical="center" wrapText="1"/>
      <protection locked="0"/>
    </xf>
    <xf numFmtId="164" fontId="3" fillId="0" borderId="4" xfId="1" applyFont="1" applyFill="1" applyBorder="1" applyAlignment="1" applyProtection="1">
      <alignment horizontal="center" vertical="center" wrapText="1"/>
      <protection locked="0"/>
    </xf>
    <xf numFmtId="164" fontId="9" fillId="5" borderId="3" xfId="1" applyFont="1" applyFill="1" applyBorder="1" applyAlignment="1">
      <alignment vertical="center" wrapText="1"/>
    </xf>
    <xf numFmtId="164" fontId="3" fillId="0" borderId="4" xfId="3" applyFont="1" applyFill="1" applyBorder="1" applyAlignment="1" applyProtection="1">
      <alignment horizontal="center"/>
      <protection locked="0"/>
    </xf>
    <xf numFmtId="164" fontId="3" fillId="0" borderId="5" xfId="3" applyFont="1" applyFill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64" fontId="3" fillId="4" borderId="2" xfId="3" applyFont="1" applyFill="1" applyBorder="1" applyAlignment="1" applyProtection="1">
      <alignment horizontal="center"/>
      <protection locked="0"/>
    </xf>
    <xf numFmtId="15" fontId="3" fillId="0" borderId="2" xfId="1" applyNumberFormat="1" applyFont="1" applyFill="1" applyBorder="1" applyAlignment="1" applyProtection="1">
      <alignment horizontal="center" vertical="center"/>
      <protection locked="0"/>
    </xf>
    <xf numFmtId="0" fontId="3" fillId="0" borderId="2" xfId="1" applyNumberFormat="1" applyFont="1" applyFill="1" applyBorder="1" applyAlignment="1" applyProtection="1">
      <alignment horizontal="center"/>
      <protection locked="0"/>
    </xf>
    <xf numFmtId="169" fontId="3" fillId="0" borderId="2" xfId="1" applyNumberFormat="1" applyFont="1" applyFill="1" applyBorder="1" applyAlignment="1">
      <alignment vertical="distributed" wrapText="1"/>
    </xf>
    <xf numFmtId="164" fontId="3" fillId="0" borderId="6" xfId="1" applyFont="1" applyFill="1" applyBorder="1" applyAlignment="1" applyProtection="1">
      <alignment horizontal="center" vertical="center" wrapText="1"/>
      <protection locked="0"/>
    </xf>
    <xf numFmtId="166" fontId="3" fillId="0" borderId="6" xfId="1" applyNumberFormat="1" applyFont="1" applyFill="1" applyBorder="1" applyAlignment="1" applyProtection="1">
      <alignment horizontal="center" vertical="center"/>
      <protection locked="0"/>
    </xf>
    <xf numFmtId="166" fontId="3" fillId="0" borderId="7" xfId="1" applyNumberFormat="1" applyFont="1" applyFill="1" applyBorder="1" applyAlignment="1" applyProtection="1">
      <alignment horizontal="center" vertical="center"/>
      <protection locked="0"/>
    </xf>
    <xf numFmtId="167" fontId="5" fillId="0" borderId="8" xfId="1" applyNumberFormat="1" applyFont="1" applyFill="1" applyBorder="1" applyAlignment="1" applyProtection="1">
      <alignment horizontal="center" vertical="center"/>
      <protection locked="0"/>
    </xf>
    <xf numFmtId="164" fontId="3" fillId="0" borderId="5" xfId="1" applyFont="1" applyFill="1" applyBorder="1" applyAlignment="1" applyProtection="1">
      <alignment horizontal="center" vertical="center" wrapText="1"/>
      <protection locked="0"/>
    </xf>
    <xf numFmtId="164" fontId="3" fillId="0" borderId="7" xfId="1" applyFont="1" applyFill="1" applyBorder="1" applyAlignment="1" applyProtection="1">
      <alignment horizontal="center" vertical="center" wrapText="1"/>
      <protection locked="0"/>
    </xf>
  </cellXfs>
  <cellStyles count="4">
    <cellStyle name="Normal" xfId="0" builtinId="0"/>
    <cellStyle name="Normal 6" xfId="3" xr:uid="{D2A711C4-D5FF-4991-B155-0BC95A093F5E}"/>
    <cellStyle name="Normal_TIEMPO DE OPERACIÓN DE EQUIPOS DE LEVANTAMIENTO DE POZOS XP BCP AL 13-01-2014 AM" xfId="1" xr:uid="{B777CD60-2D7A-4B10-A14A-C17E6C221CF5}"/>
    <cellStyle name="Normal_TIEMPO DE OPERACIÓN DE EQUIPOS DE LEVANTAMIENTO DE POZOS XP BCP AL 13-01-2014 AM 2" xfId="2" xr:uid="{5A202B19-5616-461D-BAAD-913504E44A9F}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RUN%20LIFE%20POZOS%20EXTRAPESADO%20COC%20(AL%2027-03-26).xlsx" TargetMode="External"/><Relationship Id="rId1" Type="http://schemas.openxmlformats.org/officeDocument/2006/relationships/externalLinkPath" Target="/Users/User/Desktop/RUN%20LIFE%20POZOS%20EXTRAPESADO%20COC%20(AL%2027-03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VU POZOS ACTIVOS"/>
      <sheetName val="MTBF XP BCP"/>
      <sheetName val="MTBF XP BM"/>
      <sheetName val="FALLAS BCP PREM Y NORMAL NOVIEM"/>
      <sheetName val="FALLAS BCP PREM Y NORMAL OCT"/>
      <sheetName val="VELOCIDAD DE OPERACION"/>
      <sheetName val="QUERY 31.03.26"/>
      <sheetName val="TABLA DINAMICA"/>
      <sheetName val="CRITERIOS"/>
      <sheetName val="DIAGNOSTICO BCP"/>
      <sheetName val="BCP POR COMPAÑIA"/>
      <sheetName val="ACTIVOS POR MACOLLA"/>
      <sheetName val="COORDENADAS"/>
      <sheetName val="NOMBRE CENTIN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89D3-1CF6-42D6-AE76-0627A532B44D}">
  <dimension ref="A1:F147"/>
  <sheetViews>
    <sheetView tabSelected="1" workbookViewId="0">
      <selection activeCell="H12" sqref="H12"/>
    </sheetView>
  </sheetViews>
  <sheetFormatPr baseColWidth="10" defaultRowHeight="15" x14ac:dyDescent="0.25"/>
  <sheetData>
    <row r="1" spans="1:6" ht="48" thickBot="1" x14ac:dyDescent="0.3">
      <c r="A1" s="1" t="s">
        <v>0</v>
      </c>
      <c r="B1" s="7" t="s">
        <v>147</v>
      </c>
      <c r="C1" s="7" t="s">
        <v>148</v>
      </c>
      <c r="D1" s="8" t="s">
        <v>149</v>
      </c>
      <c r="E1" s="8" t="s">
        <v>150</v>
      </c>
      <c r="F1" s="8" t="s">
        <v>151</v>
      </c>
    </row>
    <row r="2" spans="1:6" x14ac:dyDescent="0.25">
      <c r="A2" s="2" t="s">
        <v>1</v>
      </c>
      <c r="B2" s="9" t="s">
        <v>152</v>
      </c>
      <c r="C2" s="10" t="s">
        <v>153</v>
      </c>
      <c r="D2" s="11">
        <v>45987</v>
      </c>
      <c r="E2" s="12">
        <f t="shared" ref="E2:E65" ca="1" si="0">+IF((OR(D2="",D2="-",D2=0)),"SIN INFORMACIÓN",TODAY()-D2)</f>
        <v>131</v>
      </c>
      <c r="F2" s="13" t="s">
        <v>154</v>
      </c>
    </row>
    <row r="3" spans="1:6" x14ac:dyDescent="0.25">
      <c r="A3" s="2" t="s">
        <v>2</v>
      </c>
      <c r="B3" s="9" t="s">
        <v>152</v>
      </c>
      <c r="C3" s="10" t="s">
        <v>153</v>
      </c>
      <c r="D3" s="11">
        <v>45993</v>
      </c>
      <c r="E3" s="12">
        <f t="shared" ca="1" si="0"/>
        <v>125</v>
      </c>
      <c r="F3" s="13" t="s">
        <v>154</v>
      </c>
    </row>
    <row r="4" spans="1:6" x14ac:dyDescent="0.25">
      <c r="A4" s="2" t="s">
        <v>3</v>
      </c>
      <c r="B4" s="9" t="s">
        <v>152</v>
      </c>
      <c r="C4" s="10" t="s">
        <v>153</v>
      </c>
      <c r="D4" s="11">
        <v>46027</v>
      </c>
      <c r="E4" s="12">
        <f t="shared" ca="1" si="0"/>
        <v>91</v>
      </c>
      <c r="F4" s="13" t="s">
        <v>154</v>
      </c>
    </row>
    <row r="5" spans="1:6" x14ac:dyDescent="0.25">
      <c r="A5" s="2" t="s">
        <v>4</v>
      </c>
      <c r="B5" s="9" t="s">
        <v>152</v>
      </c>
      <c r="C5" s="10" t="s">
        <v>153</v>
      </c>
      <c r="D5" s="11">
        <v>45982</v>
      </c>
      <c r="E5" s="12">
        <f t="shared" ca="1" si="0"/>
        <v>136</v>
      </c>
      <c r="F5" s="13" t="s">
        <v>154</v>
      </c>
    </row>
    <row r="6" spans="1:6" x14ac:dyDescent="0.25">
      <c r="A6" s="2" t="s">
        <v>5</v>
      </c>
      <c r="B6" s="9" t="s">
        <v>152</v>
      </c>
      <c r="C6" s="10" t="s">
        <v>153</v>
      </c>
      <c r="D6" s="11">
        <v>46000</v>
      </c>
      <c r="E6" s="12">
        <f t="shared" ca="1" si="0"/>
        <v>118</v>
      </c>
      <c r="F6" s="13" t="s">
        <v>154</v>
      </c>
    </row>
    <row r="7" spans="1:6" x14ac:dyDescent="0.25">
      <c r="A7" s="2" t="s">
        <v>6</v>
      </c>
      <c r="B7" s="9" t="s">
        <v>152</v>
      </c>
      <c r="C7" s="10" t="s">
        <v>153</v>
      </c>
      <c r="D7" s="11">
        <v>46007</v>
      </c>
      <c r="E7" s="12">
        <f t="shared" ca="1" si="0"/>
        <v>111</v>
      </c>
      <c r="F7" s="13" t="s">
        <v>154</v>
      </c>
    </row>
    <row r="8" spans="1:6" x14ac:dyDescent="0.25">
      <c r="A8" s="2" t="s">
        <v>7</v>
      </c>
      <c r="B8" s="9" t="s">
        <v>152</v>
      </c>
      <c r="C8" s="10" t="s">
        <v>153</v>
      </c>
      <c r="D8" s="11">
        <v>46010</v>
      </c>
      <c r="E8" s="12">
        <f t="shared" ca="1" si="0"/>
        <v>108</v>
      </c>
      <c r="F8" s="13" t="s">
        <v>154</v>
      </c>
    </row>
    <row r="9" spans="1:6" x14ac:dyDescent="0.25">
      <c r="A9" s="2" t="s">
        <v>8</v>
      </c>
      <c r="B9" s="9" t="s">
        <v>152</v>
      </c>
      <c r="C9" s="10" t="s">
        <v>153</v>
      </c>
      <c r="D9" s="11">
        <v>46050</v>
      </c>
      <c r="E9" s="12">
        <f t="shared" ca="1" si="0"/>
        <v>68</v>
      </c>
      <c r="F9" s="13" t="s">
        <v>154</v>
      </c>
    </row>
    <row r="10" spans="1:6" x14ac:dyDescent="0.25">
      <c r="A10" s="2" t="s">
        <v>9</v>
      </c>
      <c r="B10" s="9" t="s">
        <v>152</v>
      </c>
      <c r="C10" s="10" t="s">
        <v>153</v>
      </c>
      <c r="D10" s="11">
        <v>46011</v>
      </c>
      <c r="E10" s="12">
        <f t="shared" ca="1" si="0"/>
        <v>107</v>
      </c>
      <c r="F10" s="13" t="s">
        <v>154</v>
      </c>
    </row>
    <row r="11" spans="1:6" x14ac:dyDescent="0.25">
      <c r="A11" s="2" t="s">
        <v>10</v>
      </c>
      <c r="B11" s="9" t="s">
        <v>155</v>
      </c>
      <c r="C11" s="10" t="s">
        <v>156</v>
      </c>
      <c r="D11" s="11">
        <v>46018</v>
      </c>
      <c r="E11" s="12">
        <f t="shared" ca="1" si="0"/>
        <v>100</v>
      </c>
      <c r="F11" s="13" t="s">
        <v>154</v>
      </c>
    </row>
    <row r="12" spans="1:6" x14ac:dyDescent="0.25">
      <c r="A12" s="2" t="s">
        <v>11</v>
      </c>
      <c r="B12" s="9" t="s">
        <v>152</v>
      </c>
      <c r="C12" s="10" t="s">
        <v>153</v>
      </c>
      <c r="D12" s="11">
        <v>46032</v>
      </c>
      <c r="E12" s="12">
        <f t="shared" ca="1" si="0"/>
        <v>86</v>
      </c>
      <c r="F12" s="14" t="s">
        <v>154</v>
      </c>
    </row>
    <row r="13" spans="1:6" x14ac:dyDescent="0.25">
      <c r="A13" s="2" t="s">
        <v>12</v>
      </c>
      <c r="B13" s="9" t="s">
        <v>152</v>
      </c>
      <c r="C13" s="10" t="s">
        <v>153</v>
      </c>
      <c r="D13" s="11">
        <v>46039</v>
      </c>
      <c r="E13" s="12">
        <f t="shared" ca="1" si="0"/>
        <v>79</v>
      </c>
      <c r="F13" s="14" t="s">
        <v>154</v>
      </c>
    </row>
    <row r="14" spans="1:6" ht="51" x14ac:dyDescent="0.25">
      <c r="A14" s="2" t="s">
        <v>13</v>
      </c>
      <c r="B14" s="9"/>
      <c r="C14" s="10"/>
      <c r="D14" s="11"/>
      <c r="E14" s="12" t="str">
        <f t="shared" ca="1" si="0"/>
        <v>SIN INFORMACIÓN</v>
      </c>
      <c r="F14" s="14" t="s">
        <v>157</v>
      </c>
    </row>
    <row r="15" spans="1:6" x14ac:dyDescent="0.25">
      <c r="A15" s="2" t="s">
        <v>14</v>
      </c>
      <c r="B15" s="9" t="s">
        <v>152</v>
      </c>
      <c r="C15" s="10" t="s">
        <v>153</v>
      </c>
      <c r="D15" s="11">
        <v>46047</v>
      </c>
      <c r="E15" s="12">
        <f t="shared" ca="1" si="0"/>
        <v>71</v>
      </c>
      <c r="F15" s="14" t="s">
        <v>154</v>
      </c>
    </row>
    <row r="16" spans="1:6" x14ac:dyDescent="0.25">
      <c r="A16" s="3" t="s">
        <v>15</v>
      </c>
      <c r="B16" s="15" t="s">
        <v>155</v>
      </c>
      <c r="C16" s="16" t="s">
        <v>158</v>
      </c>
      <c r="D16" s="17">
        <v>45884</v>
      </c>
      <c r="E16" s="18">
        <f t="shared" ca="1" si="0"/>
        <v>234</v>
      </c>
      <c r="F16" s="19" t="s">
        <v>154</v>
      </c>
    </row>
    <row r="17" spans="1:6" x14ac:dyDescent="0.25">
      <c r="A17" s="3" t="s">
        <v>16</v>
      </c>
      <c r="B17" s="15" t="s">
        <v>155</v>
      </c>
      <c r="C17" s="16" t="s">
        <v>156</v>
      </c>
      <c r="D17" s="17">
        <v>45883</v>
      </c>
      <c r="E17" s="18">
        <f t="shared" ca="1" si="0"/>
        <v>235</v>
      </c>
      <c r="F17" s="19" t="s">
        <v>154</v>
      </c>
    </row>
    <row r="18" spans="1:6" ht="114.75" x14ac:dyDescent="0.25">
      <c r="A18" s="3" t="s">
        <v>17</v>
      </c>
      <c r="B18" s="15"/>
      <c r="C18" s="16"/>
      <c r="D18" s="17"/>
      <c r="E18" s="18" t="str">
        <f t="shared" ca="1" si="0"/>
        <v>SIN INFORMACIÓN</v>
      </c>
      <c r="F18" s="19" t="s">
        <v>159</v>
      </c>
    </row>
    <row r="19" spans="1:6" ht="89.25" x14ac:dyDescent="0.25">
      <c r="A19" s="3" t="s">
        <v>18</v>
      </c>
      <c r="B19" s="15" t="s">
        <v>155</v>
      </c>
      <c r="C19" s="16" t="s">
        <v>158</v>
      </c>
      <c r="D19" s="17">
        <v>45880</v>
      </c>
      <c r="E19" s="18">
        <f t="shared" ca="1" si="0"/>
        <v>238</v>
      </c>
      <c r="F19" s="19" t="s">
        <v>160</v>
      </c>
    </row>
    <row r="20" spans="1:6" x14ac:dyDescent="0.25">
      <c r="A20" s="2" t="s">
        <v>19</v>
      </c>
      <c r="B20" s="9" t="s">
        <v>155</v>
      </c>
      <c r="C20" s="9" t="s">
        <v>161</v>
      </c>
      <c r="D20" s="20">
        <v>46054</v>
      </c>
      <c r="E20" s="12">
        <f t="shared" ca="1" si="0"/>
        <v>64</v>
      </c>
      <c r="F20" s="14" t="s">
        <v>154</v>
      </c>
    </row>
    <row r="21" spans="1:6" x14ac:dyDescent="0.25">
      <c r="A21" s="2" t="s">
        <v>20</v>
      </c>
      <c r="B21" s="9" t="s">
        <v>162</v>
      </c>
      <c r="C21" s="9" t="s">
        <v>163</v>
      </c>
      <c r="D21" s="20">
        <v>45776</v>
      </c>
      <c r="E21" s="12">
        <f t="shared" ca="1" si="0"/>
        <v>342</v>
      </c>
      <c r="F21" s="14" t="s">
        <v>154</v>
      </c>
    </row>
    <row r="22" spans="1:6" x14ac:dyDescent="0.25">
      <c r="A22" s="2" t="s">
        <v>21</v>
      </c>
      <c r="B22" s="9" t="s">
        <v>155</v>
      </c>
      <c r="C22" s="9" t="s">
        <v>164</v>
      </c>
      <c r="D22" s="20">
        <v>45877</v>
      </c>
      <c r="E22" s="12">
        <f t="shared" ca="1" si="0"/>
        <v>241</v>
      </c>
      <c r="F22" s="14" t="s">
        <v>154</v>
      </c>
    </row>
    <row r="23" spans="1:6" ht="102" x14ac:dyDescent="0.25">
      <c r="A23" s="2" t="s">
        <v>22</v>
      </c>
      <c r="B23" s="9" t="s">
        <v>162</v>
      </c>
      <c r="C23" s="9" t="s">
        <v>163</v>
      </c>
      <c r="D23" s="20">
        <v>45889</v>
      </c>
      <c r="E23" s="12">
        <f t="shared" ca="1" si="0"/>
        <v>229</v>
      </c>
      <c r="F23" s="14" t="s">
        <v>165</v>
      </c>
    </row>
    <row r="24" spans="1:6" x14ac:dyDescent="0.25">
      <c r="A24" s="2" t="s">
        <v>23</v>
      </c>
      <c r="B24" s="9" t="s">
        <v>162</v>
      </c>
      <c r="C24" s="9" t="s">
        <v>163</v>
      </c>
      <c r="D24" s="20">
        <v>45870</v>
      </c>
      <c r="E24" s="12">
        <f ca="1">+IF((OR(D24="",D24="-",D24=0)),"SIN INFORMACIÓN",TODAY()-D24)</f>
        <v>248</v>
      </c>
      <c r="F24" s="14" t="s">
        <v>154</v>
      </c>
    </row>
    <row r="25" spans="1:6" x14ac:dyDescent="0.25">
      <c r="A25" s="2" t="s">
        <v>24</v>
      </c>
      <c r="B25" s="9" t="s">
        <v>162</v>
      </c>
      <c r="C25" s="9" t="s">
        <v>163</v>
      </c>
      <c r="D25" s="20">
        <v>45876</v>
      </c>
      <c r="E25" s="12">
        <f ca="1">+IF((OR(D25="",D25="-",D25=0)),"SIN INFORMACIÓN",TODAY()-D25)</f>
        <v>242</v>
      </c>
      <c r="F25" s="14" t="s">
        <v>154</v>
      </c>
    </row>
    <row r="26" spans="1:6" x14ac:dyDescent="0.25">
      <c r="A26" s="2" t="s">
        <v>25</v>
      </c>
      <c r="B26" s="9" t="s">
        <v>162</v>
      </c>
      <c r="C26" s="9" t="s">
        <v>166</v>
      </c>
      <c r="D26" s="20">
        <v>45562</v>
      </c>
      <c r="E26" s="12">
        <f t="shared" ref="E26" ca="1" si="1">+IF((OR(D26="",D26="-",D26=0)),"SIN INFORMACIÓN",TODAY()-D26)</f>
        <v>556</v>
      </c>
      <c r="F26" s="14" t="s">
        <v>154</v>
      </c>
    </row>
    <row r="27" spans="1:6" x14ac:dyDescent="0.25">
      <c r="A27" s="2" t="s">
        <v>26</v>
      </c>
      <c r="B27" s="9" t="s">
        <v>155</v>
      </c>
      <c r="C27" s="9" t="s">
        <v>161</v>
      </c>
      <c r="D27" s="20">
        <v>46015</v>
      </c>
      <c r="E27" s="12">
        <f t="shared" ca="1" si="0"/>
        <v>103</v>
      </c>
      <c r="F27" s="14" t="s">
        <v>154</v>
      </c>
    </row>
    <row r="28" spans="1:6" x14ac:dyDescent="0.25">
      <c r="A28" s="2" t="s">
        <v>27</v>
      </c>
      <c r="B28" s="9" t="s">
        <v>155</v>
      </c>
      <c r="C28" s="9" t="s">
        <v>156</v>
      </c>
      <c r="D28" s="20">
        <v>45869</v>
      </c>
      <c r="E28" s="12">
        <f t="shared" ca="1" si="0"/>
        <v>249</v>
      </c>
      <c r="F28" s="14" t="s">
        <v>154</v>
      </c>
    </row>
    <row r="29" spans="1:6" x14ac:dyDescent="0.25">
      <c r="A29" s="2" t="s">
        <v>28</v>
      </c>
      <c r="B29" s="21" t="s">
        <v>155</v>
      </c>
      <c r="C29" s="21" t="s">
        <v>156</v>
      </c>
      <c r="D29" s="20">
        <v>45948</v>
      </c>
      <c r="E29" s="12">
        <f t="shared" ca="1" si="0"/>
        <v>170</v>
      </c>
      <c r="F29" s="14" t="s">
        <v>154</v>
      </c>
    </row>
    <row r="30" spans="1:6" x14ac:dyDescent="0.25">
      <c r="A30" s="2" t="s">
        <v>29</v>
      </c>
      <c r="B30" s="9" t="s">
        <v>152</v>
      </c>
      <c r="C30" s="9" t="s">
        <v>153</v>
      </c>
      <c r="D30" s="20">
        <v>45977</v>
      </c>
      <c r="E30" s="12">
        <f t="shared" ca="1" si="0"/>
        <v>141</v>
      </c>
      <c r="F30" s="14" t="s">
        <v>154</v>
      </c>
    </row>
    <row r="31" spans="1:6" x14ac:dyDescent="0.25">
      <c r="A31" s="2" t="s">
        <v>30</v>
      </c>
      <c r="B31" s="10" t="s">
        <v>155</v>
      </c>
      <c r="C31" s="10" t="s">
        <v>167</v>
      </c>
      <c r="D31" s="11">
        <v>45855</v>
      </c>
      <c r="E31" s="12">
        <f t="shared" ca="1" si="0"/>
        <v>263</v>
      </c>
      <c r="F31" s="14" t="s">
        <v>154</v>
      </c>
    </row>
    <row r="32" spans="1:6" x14ac:dyDescent="0.25">
      <c r="A32" s="2" t="s">
        <v>31</v>
      </c>
      <c r="B32" s="9" t="s">
        <v>155</v>
      </c>
      <c r="C32" s="9" t="s">
        <v>168</v>
      </c>
      <c r="D32" s="20">
        <v>45873</v>
      </c>
      <c r="E32" s="12">
        <f t="shared" ca="1" si="0"/>
        <v>245</v>
      </c>
      <c r="F32" s="14" t="s">
        <v>154</v>
      </c>
    </row>
    <row r="33" spans="1:6" x14ac:dyDescent="0.25">
      <c r="A33" s="2" t="s">
        <v>32</v>
      </c>
      <c r="B33" s="22" t="s">
        <v>155</v>
      </c>
      <c r="C33" s="23" t="s">
        <v>156</v>
      </c>
      <c r="D33" s="11">
        <v>45968</v>
      </c>
      <c r="E33" s="12">
        <f t="shared" ca="1" si="0"/>
        <v>150</v>
      </c>
      <c r="F33" s="14" t="s">
        <v>154</v>
      </c>
    </row>
    <row r="34" spans="1:6" ht="38.25" x14ac:dyDescent="0.25">
      <c r="A34" s="2" t="s">
        <v>33</v>
      </c>
      <c r="B34" s="10" t="s">
        <v>169</v>
      </c>
      <c r="C34" s="10" t="s">
        <v>170</v>
      </c>
      <c r="D34" s="11">
        <v>43071</v>
      </c>
      <c r="E34" s="12">
        <f t="shared" ca="1" si="0"/>
        <v>3047</v>
      </c>
      <c r="F34" s="13" t="s">
        <v>171</v>
      </c>
    </row>
    <row r="35" spans="1:6" x14ac:dyDescent="0.25">
      <c r="A35" s="2" t="s">
        <v>34</v>
      </c>
      <c r="B35" s="9" t="s">
        <v>162</v>
      </c>
      <c r="C35" s="10" t="s">
        <v>172</v>
      </c>
      <c r="D35" s="11">
        <v>45853</v>
      </c>
      <c r="E35" s="12">
        <f t="shared" ca="1" si="0"/>
        <v>265</v>
      </c>
      <c r="F35" s="14" t="s">
        <v>154</v>
      </c>
    </row>
    <row r="36" spans="1:6" x14ac:dyDescent="0.25">
      <c r="A36" s="2" t="s">
        <v>35</v>
      </c>
      <c r="B36" s="9" t="s">
        <v>155</v>
      </c>
      <c r="C36" s="10" t="s">
        <v>156</v>
      </c>
      <c r="D36" s="11">
        <v>45891</v>
      </c>
      <c r="E36" s="12">
        <f t="shared" ca="1" si="0"/>
        <v>227</v>
      </c>
      <c r="F36" s="13" t="s">
        <v>154</v>
      </c>
    </row>
    <row r="37" spans="1:6" x14ac:dyDescent="0.25">
      <c r="A37" s="2" t="s">
        <v>36</v>
      </c>
      <c r="B37" s="22" t="s">
        <v>155</v>
      </c>
      <c r="C37" s="24" t="s">
        <v>156</v>
      </c>
      <c r="D37" s="11">
        <v>45919</v>
      </c>
      <c r="E37" s="12">
        <f t="shared" ca="1" si="0"/>
        <v>199</v>
      </c>
      <c r="F37" s="13" t="s">
        <v>154</v>
      </c>
    </row>
    <row r="38" spans="1:6" ht="76.5" x14ac:dyDescent="0.25">
      <c r="A38" s="3" t="s">
        <v>37</v>
      </c>
      <c r="B38" s="15"/>
      <c r="C38" s="16"/>
      <c r="D38" s="17"/>
      <c r="E38" s="18"/>
      <c r="F38" s="19" t="s">
        <v>173</v>
      </c>
    </row>
    <row r="39" spans="1:6" x14ac:dyDescent="0.25">
      <c r="A39" s="2" t="s">
        <v>38</v>
      </c>
      <c r="B39" s="9" t="s">
        <v>174</v>
      </c>
      <c r="C39" s="9" t="s">
        <v>175</v>
      </c>
      <c r="D39" s="20">
        <v>45676</v>
      </c>
      <c r="E39" s="12">
        <f t="shared" ca="1" si="0"/>
        <v>442</v>
      </c>
      <c r="F39" s="14" t="s">
        <v>154</v>
      </c>
    </row>
    <row r="40" spans="1:6" x14ac:dyDescent="0.25">
      <c r="A40" s="4" t="s">
        <v>39</v>
      </c>
      <c r="B40" s="25" t="s">
        <v>155</v>
      </c>
      <c r="C40" s="25" t="s">
        <v>156</v>
      </c>
      <c r="D40" s="26">
        <v>45956</v>
      </c>
      <c r="E40" s="27">
        <f t="shared" ca="1" si="0"/>
        <v>162</v>
      </c>
      <c r="F40" s="14" t="s">
        <v>154</v>
      </c>
    </row>
    <row r="41" spans="1:6" x14ac:dyDescent="0.25">
      <c r="A41" s="4" t="s">
        <v>40</v>
      </c>
      <c r="B41" s="25" t="s">
        <v>152</v>
      </c>
      <c r="C41" s="25" t="s">
        <v>153</v>
      </c>
      <c r="D41" s="26">
        <v>45983</v>
      </c>
      <c r="E41" s="27">
        <f t="shared" ca="1" si="0"/>
        <v>135</v>
      </c>
      <c r="F41" s="14" t="s">
        <v>154</v>
      </c>
    </row>
    <row r="42" spans="1:6" x14ac:dyDescent="0.25">
      <c r="A42" s="2" t="s">
        <v>41</v>
      </c>
      <c r="B42" s="9" t="s">
        <v>162</v>
      </c>
      <c r="C42" s="9" t="s">
        <v>175</v>
      </c>
      <c r="D42" s="20">
        <v>45670</v>
      </c>
      <c r="E42" s="12">
        <f t="shared" ca="1" si="0"/>
        <v>448</v>
      </c>
      <c r="F42" s="14" t="s">
        <v>154</v>
      </c>
    </row>
    <row r="43" spans="1:6" x14ac:dyDescent="0.25">
      <c r="A43" s="2" t="s">
        <v>42</v>
      </c>
      <c r="B43" s="28" t="s">
        <v>155</v>
      </c>
      <c r="C43" s="24" t="s">
        <v>156</v>
      </c>
      <c r="D43" s="11">
        <v>45972</v>
      </c>
      <c r="E43" s="12">
        <f t="shared" ca="1" si="0"/>
        <v>146</v>
      </c>
      <c r="F43" s="14" t="s">
        <v>154</v>
      </c>
    </row>
    <row r="44" spans="1:6" x14ac:dyDescent="0.25">
      <c r="A44" s="2" t="s">
        <v>43</v>
      </c>
      <c r="B44" s="10" t="s">
        <v>155</v>
      </c>
      <c r="C44" s="10" t="s">
        <v>176</v>
      </c>
      <c r="D44" s="11">
        <v>45585</v>
      </c>
      <c r="E44" s="12">
        <f t="shared" ca="1" si="0"/>
        <v>533</v>
      </c>
      <c r="F44" s="14" t="s">
        <v>154</v>
      </c>
    </row>
    <row r="45" spans="1:6" x14ac:dyDescent="0.25">
      <c r="A45" s="2" t="s">
        <v>44</v>
      </c>
      <c r="B45" s="9" t="s">
        <v>162</v>
      </c>
      <c r="C45" s="10" t="s">
        <v>163</v>
      </c>
      <c r="D45" s="11">
        <v>45567</v>
      </c>
      <c r="E45" s="12">
        <f t="shared" ca="1" si="0"/>
        <v>551</v>
      </c>
      <c r="F45" s="14" t="s">
        <v>154</v>
      </c>
    </row>
    <row r="46" spans="1:6" x14ac:dyDescent="0.25">
      <c r="A46" s="2" t="s">
        <v>45</v>
      </c>
      <c r="B46" s="10" t="s">
        <v>155</v>
      </c>
      <c r="C46" s="10" t="s">
        <v>177</v>
      </c>
      <c r="D46" s="11">
        <v>45575</v>
      </c>
      <c r="E46" s="12">
        <f t="shared" ca="1" si="0"/>
        <v>543</v>
      </c>
      <c r="F46" s="14" t="s">
        <v>154</v>
      </c>
    </row>
    <row r="47" spans="1:6" x14ac:dyDescent="0.25">
      <c r="A47" s="2" t="s">
        <v>46</v>
      </c>
      <c r="B47" s="29" t="s">
        <v>155</v>
      </c>
      <c r="C47" s="10" t="s">
        <v>168</v>
      </c>
      <c r="D47" s="11">
        <v>46085</v>
      </c>
      <c r="E47" s="12">
        <f t="shared" ca="1" si="0"/>
        <v>33</v>
      </c>
      <c r="F47" s="14" t="s">
        <v>154</v>
      </c>
    </row>
    <row r="48" spans="1:6" ht="38.25" x14ac:dyDescent="0.25">
      <c r="A48" s="2" t="s">
        <v>47</v>
      </c>
      <c r="B48" s="21"/>
      <c r="C48" s="21"/>
      <c r="D48" s="20"/>
      <c r="E48" s="12" t="str">
        <f t="shared" ca="1" si="0"/>
        <v>SIN INFORMACIÓN</v>
      </c>
      <c r="F48" s="14" t="s">
        <v>178</v>
      </c>
    </row>
    <row r="49" spans="1:6" x14ac:dyDescent="0.25">
      <c r="A49" s="2" t="s">
        <v>48</v>
      </c>
      <c r="B49" s="9" t="s">
        <v>162</v>
      </c>
      <c r="C49" s="9" t="s">
        <v>163</v>
      </c>
      <c r="D49" s="20">
        <v>45891</v>
      </c>
      <c r="E49" s="12">
        <f t="shared" ca="1" si="0"/>
        <v>227</v>
      </c>
      <c r="F49" s="14" t="s">
        <v>154</v>
      </c>
    </row>
    <row r="50" spans="1:6" ht="84" x14ac:dyDescent="0.25">
      <c r="A50" s="2" t="s">
        <v>49</v>
      </c>
      <c r="B50" s="9"/>
      <c r="C50" s="9"/>
      <c r="D50" s="20"/>
      <c r="E50" s="12" t="str">
        <f t="shared" ca="1" si="0"/>
        <v>SIN INFORMACIÓN</v>
      </c>
      <c r="F50" s="30" t="s">
        <v>179</v>
      </c>
    </row>
    <row r="51" spans="1:6" x14ac:dyDescent="0.25">
      <c r="A51" s="5" t="s">
        <v>50</v>
      </c>
      <c r="B51" s="31" t="s">
        <v>180</v>
      </c>
      <c r="C51" s="32" t="s">
        <v>181</v>
      </c>
      <c r="D51" s="11">
        <v>45721</v>
      </c>
      <c r="E51" s="12">
        <f t="shared" ca="1" si="0"/>
        <v>397</v>
      </c>
      <c r="F51" s="14" t="s">
        <v>154</v>
      </c>
    </row>
    <row r="52" spans="1:6" x14ac:dyDescent="0.25">
      <c r="A52" s="2" t="s">
        <v>51</v>
      </c>
      <c r="B52" s="21" t="s">
        <v>155</v>
      </c>
      <c r="C52" s="21" t="s">
        <v>156</v>
      </c>
      <c r="D52" s="20">
        <v>45940</v>
      </c>
      <c r="E52" s="12">
        <f t="shared" ca="1" si="0"/>
        <v>178</v>
      </c>
      <c r="F52" s="14" t="s">
        <v>154</v>
      </c>
    </row>
    <row r="53" spans="1:6" ht="38.25" x14ac:dyDescent="0.25">
      <c r="A53" s="2" t="s">
        <v>52</v>
      </c>
      <c r="B53" s="9" t="s">
        <v>180</v>
      </c>
      <c r="C53" s="9" t="s">
        <v>181</v>
      </c>
      <c r="D53" s="20">
        <v>45726</v>
      </c>
      <c r="E53" s="12">
        <f t="shared" ca="1" si="0"/>
        <v>392</v>
      </c>
      <c r="F53" s="14" t="s">
        <v>182</v>
      </c>
    </row>
    <row r="54" spans="1:6" x14ac:dyDescent="0.25">
      <c r="A54" s="2" t="s">
        <v>53</v>
      </c>
      <c r="B54" s="10" t="s">
        <v>152</v>
      </c>
      <c r="C54" s="10" t="s">
        <v>153</v>
      </c>
      <c r="D54" s="11">
        <v>46028</v>
      </c>
      <c r="E54" s="12">
        <f t="shared" ca="1" si="0"/>
        <v>90</v>
      </c>
      <c r="F54" s="13" t="s">
        <v>154</v>
      </c>
    </row>
    <row r="55" spans="1:6" x14ac:dyDescent="0.25">
      <c r="A55" s="2" t="s">
        <v>54</v>
      </c>
      <c r="B55" s="9" t="s">
        <v>155</v>
      </c>
      <c r="C55" s="10" t="s">
        <v>168</v>
      </c>
      <c r="D55" s="11">
        <v>46089</v>
      </c>
      <c r="E55" s="12">
        <f t="shared" ca="1" si="0"/>
        <v>29</v>
      </c>
      <c r="F55" s="14" t="s">
        <v>154</v>
      </c>
    </row>
    <row r="56" spans="1:6" x14ac:dyDescent="0.25">
      <c r="A56" s="2" t="s">
        <v>55</v>
      </c>
      <c r="B56" s="9" t="s">
        <v>174</v>
      </c>
      <c r="C56" s="9" t="s">
        <v>183</v>
      </c>
      <c r="D56" s="20">
        <v>45780</v>
      </c>
      <c r="E56" s="12">
        <f t="shared" ca="1" si="0"/>
        <v>338</v>
      </c>
      <c r="F56" s="14" t="s">
        <v>154</v>
      </c>
    </row>
    <row r="57" spans="1:6" x14ac:dyDescent="0.25">
      <c r="A57" s="2" t="s">
        <v>56</v>
      </c>
      <c r="B57" s="33" t="s">
        <v>155</v>
      </c>
      <c r="C57" s="33" t="s">
        <v>156</v>
      </c>
      <c r="D57" s="20">
        <v>45866</v>
      </c>
      <c r="E57" s="12">
        <f t="shared" ca="1" si="0"/>
        <v>252</v>
      </c>
      <c r="F57" s="14" t="s">
        <v>154</v>
      </c>
    </row>
    <row r="58" spans="1:6" x14ac:dyDescent="0.25">
      <c r="A58" s="2" t="s">
        <v>57</v>
      </c>
      <c r="B58" s="33" t="s">
        <v>162</v>
      </c>
      <c r="C58" s="33" t="s">
        <v>163</v>
      </c>
      <c r="D58" s="20">
        <v>45871</v>
      </c>
      <c r="E58" s="12">
        <f t="shared" ca="1" si="0"/>
        <v>247</v>
      </c>
      <c r="F58" s="14" t="s">
        <v>154</v>
      </c>
    </row>
    <row r="59" spans="1:6" x14ac:dyDescent="0.25">
      <c r="A59" s="2" t="s">
        <v>58</v>
      </c>
      <c r="B59" s="9" t="s">
        <v>174</v>
      </c>
      <c r="C59" s="9" t="s">
        <v>183</v>
      </c>
      <c r="D59" s="20">
        <v>45789</v>
      </c>
      <c r="E59" s="12">
        <f t="shared" ca="1" si="0"/>
        <v>329</v>
      </c>
      <c r="F59" s="14" t="s">
        <v>154</v>
      </c>
    </row>
    <row r="60" spans="1:6" x14ac:dyDescent="0.25">
      <c r="A60" s="2" t="s">
        <v>59</v>
      </c>
      <c r="B60" s="9" t="s">
        <v>174</v>
      </c>
      <c r="C60" s="9" t="s">
        <v>175</v>
      </c>
      <c r="D60" s="11">
        <v>45684</v>
      </c>
      <c r="E60" s="12">
        <f t="shared" ca="1" si="0"/>
        <v>434</v>
      </c>
      <c r="F60" s="14" t="s">
        <v>154</v>
      </c>
    </row>
    <row r="61" spans="1:6" x14ac:dyDescent="0.25">
      <c r="A61" s="2" t="s">
        <v>60</v>
      </c>
      <c r="B61" s="10" t="s">
        <v>180</v>
      </c>
      <c r="C61" s="10" t="s">
        <v>181</v>
      </c>
      <c r="D61" s="11">
        <v>45737</v>
      </c>
      <c r="E61" s="12">
        <f t="shared" ca="1" si="0"/>
        <v>381</v>
      </c>
      <c r="F61" s="14" t="s">
        <v>154</v>
      </c>
    </row>
    <row r="62" spans="1:6" x14ac:dyDescent="0.25">
      <c r="A62" s="2" t="s">
        <v>61</v>
      </c>
      <c r="B62" s="9" t="s">
        <v>174</v>
      </c>
      <c r="C62" s="9" t="s">
        <v>175</v>
      </c>
      <c r="D62" s="20">
        <v>45664</v>
      </c>
      <c r="E62" s="12">
        <f t="shared" ca="1" si="0"/>
        <v>454</v>
      </c>
      <c r="F62" s="14" t="s">
        <v>154</v>
      </c>
    </row>
    <row r="63" spans="1:6" x14ac:dyDescent="0.25">
      <c r="A63" s="2" t="s">
        <v>62</v>
      </c>
      <c r="B63" s="9" t="s">
        <v>174</v>
      </c>
      <c r="C63" s="9" t="s">
        <v>175</v>
      </c>
      <c r="D63" s="20">
        <v>45668</v>
      </c>
      <c r="E63" s="12">
        <f t="shared" ca="1" si="0"/>
        <v>450</v>
      </c>
      <c r="F63" s="14" t="s">
        <v>154</v>
      </c>
    </row>
    <row r="64" spans="1:6" x14ac:dyDescent="0.25">
      <c r="A64" s="2" t="s">
        <v>63</v>
      </c>
      <c r="B64" s="9" t="s">
        <v>155</v>
      </c>
      <c r="C64" s="9" t="s">
        <v>156</v>
      </c>
      <c r="D64" s="20">
        <v>46059</v>
      </c>
      <c r="E64" s="12">
        <f t="shared" ca="1" si="0"/>
        <v>59</v>
      </c>
      <c r="F64" s="14" t="s">
        <v>154</v>
      </c>
    </row>
    <row r="65" spans="1:6" x14ac:dyDescent="0.25">
      <c r="A65" s="2" t="s">
        <v>64</v>
      </c>
      <c r="B65" s="9" t="s">
        <v>155</v>
      </c>
      <c r="C65" s="10" t="s">
        <v>156</v>
      </c>
      <c r="D65" s="11">
        <v>45867</v>
      </c>
      <c r="E65" s="12">
        <f t="shared" ca="1" si="0"/>
        <v>251</v>
      </c>
      <c r="F65" s="14" t="s">
        <v>154</v>
      </c>
    </row>
    <row r="66" spans="1:6" x14ac:dyDescent="0.25">
      <c r="A66" s="2" t="s">
        <v>65</v>
      </c>
      <c r="B66" s="9" t="s">
        <v>174</v>
      </c>
      <c r="C66" s="9" t="s">
        <v>175</v>
      </c>
      <c r="D66" s="11">
        <v>45660</v>
      </c>
      <c r="E66" s="12">
        <f t="shared" ref="E66:E147" ca="1" si="2">+IF((OR(D66="",D66="-",D66=0)),"SIN INFORMACIÓN",TODAY()-D66)</f>
        <v>458</v>
      </c>
      <c r="F66" s="14" t="s">
        <v>154</v>
      </c>
    </row>
    <row r="67" spans="1:6" x14ac:dyDescent="0.25">
      <c r="A67" s="2" t="s">
        <v>66</v>
      </c>
      <c r="B67" s="9" t="s">
        <v>174</v>
      </c>
      <c r="C67" s="9" t="s">
        <v>183</v>
      </c>
      <c r="D67" s="20">
        <v>45779</v>
      </c>
      <c r="E67" s="12">
        <f ca="1">+IF((OR(D67="",D67="-",D67=0)),"SIN INFORMACIÓN",TODAY()-D67)</f>
        <v>339</v>
      </c>
      <c r="F67" s="14" t="s">
        <v>154</v>
      </c>
    </row>
    <row r="68" spans="1:6" x14ac:dyDescent="0.25">
      <c r="A68" s="2" t="s">
        <v>67</v>
      </c>
      <c r="B68" s="9" t="s">
        <v>162</v>
      </c>
      <c r="C68" s="9" t="s">
        <v>163</v>
      </c>
      <c r="D68" s="20">
        <v>45847</v>
      </c>
      <c r="E68" s="12">
        <f ca="1">+IF((OR(D68="",D68="-",D68=0)),"SIN INFORMACIÓN",TODAY()-D68)</f>
        <v>271</v>
      </c>
      <c r="F68" s="14" t="s">
        <v>154</v>
      </c>
    </row>
    <row r="69" spans="1:6" x14ac:dyDescent="0.25">
      <c r="A69" s="2" t="s">
        <v>68</v>
      </c>
      <c r="B69" s="9" t="s">
        <v>162</v>
      </c>
      <c r="C69" s="9" t="s">
        <v>163</v>
      </c>
      <c r="D69" s="20">
        <v>45670</v>
      </c>
      <c r="E69" s="12">
        <f t="shared" ca="1" si="2"/>
        <v>448</v>
      </c>
      <c r="F69" s="14" t="s">
        <v>154</v>
      </c>
    </row>
    <row r="70" spans="1:6" x14ac:dyDescent="0.25">
      <c r="A70" s="2" t="s">
        <v>69</v>
      </c>
      <c r="B70" s="9" t="s">
        <v>180</v>
      </c>
      <c r="C70" s="9" t="s">
        <v>181</v>
      </c>
      <c r="D70" s="20">
        <v>45730</v>
      </c>
      <c r="E70" s="12">
        <f t="shared" ca="1" si="2"/>
        <v>388</v>
      </c>
      <c r="F70" s="14" t="s">
        <v>154</v>
      </c>
    </row>
    <row r="71" spans="1:6" x14ac:dyDescent="0.25">
      <c r="A71" s="2" t="s">
        <v>70</v>
      </c>
      <c r="B71" s="9" t="s">
        <v>155</v>
      </c>
      <c r="C71" s="9" t="s">
        <v>156</v>
      </c>
      <c r="D71" s="11">
        <v>45867</v>
      </c>
      <c r="E71" s="12">
        <f t="shared" ca="1" si="2"/>
        <v>251</v>
      </c>
      <c r="F71" s="14" t="s">
        <v>154</v>
      </c>
    </row>
    <row r="72" spans="1:6" x14ac:dyDescent="0.25">
      <c r="A72" s="2" t="s">
        <v>71</v>
      </c>
      <c r="B72" s="9" t="s">
        <v>155</v>
      </c>
      <c r="C72" s="9" t="s">
        <v>156</v>
      </c>
      <c r="D72" s="20">
        <v>45894</v>
      </c>
      <c r="E72" s="12">
        <f t="shared" ca="1" si="2"/>
        <v>224</v>
      </c>
      <c r="F72" s="14" t="s">
        <v>154</v>
      </c>
    </row>
    <row r="73" spans="1:6" x14ac:dyDescent="0.25">
      <c r="A73" s="2" t="s">
        <v>72</v>
      </c>
      <c r="B73" s="9" t="s">
        <v>155</v>
      </c>
      <c r="C73" s="9" t="s">
        <v>156</v>
      </c>
      <c r="D73" s="20">
        <v>45936</v>
      </c>
      <c r="E73" s="12">
        <f t="shared" ca="1" si="2"/>
        <v>182</v>
      </c>
      <c r="F73" s="14" t="s">
        <v>154</v>
      </c>
    </row>
    <row r="74" spans="1:6" x14ac:dyDescent="0.25">
      <c r="A74" s="2" t="s">
        <v>73</v>
      </c>
      <c r="B74" s="10" t="s">
        <v>180</v>
      </c>
      <c r="C74" s="10" t="s">
        <v>184</v>
      </c>
      <c r="D74" s="11">
        <v>44665</v>
      </c>
      <c r="E74" s="12">
        <f t="shared" ca="1" si="2"/>
        <v>1453</v>
      </c>
      <c r="F74" s="14" t="s">
        <v>154</v>
      </c>
    </row>
    <row r="75" spans="1:6" x14ac:dyDescent="0.25">
      <c r="A75" s="2" t="s">
        <v>74</v>
      </c>
      <c r="B75" s="9" t="s">
        <v>162</v>
      </c>
      <c r="C75" s="9" t="s">
        <v>163</v>
      </c>
      <c r="D75" s="20">
        <v>45774</v>
      </c>
      <c r="E75" s="12">
        <f t="shared" ca="1" si="2"/>
        <v>344</v>
      </c>
      <c r="F75" s="14" t="s">
        <v>154</v>
      </c>
    </row>
    <row r="76" spans="1:6" x14ac:dyDescent="0.25">
      <c r="A76" s="2" t="s">
        <v>75</v>
      </c>
      <c r="B76" s="9" t="s">
        <v>155</v>
      </c>
      <c r="C76" s="9" t="s">
        <v>164</v>
      </c>
      <c r="D76" s="20">
        <v>46005</v>
      </c>
      <c r="E76" s="12">
        <f t="shared" ca="1" si="2"/>
        <v>113</v>
      </c>
      <c r="F76" s="14" t="s">
        <v>154</v>
      </c>
    </row>
    <row r="77" spans="1:6" x14ac:dyDescent="0.25">
      <c r="A77" s="2" t="s">
        <v>76</v>
      </c>
      <c r="B77" s="9" t="s">
        <v>162</v>
      </c>
      <c r="C77" s="9" t="s">
        <v>185</v>
      </c>
      <c r="D77" s="20">
        <v>45811</v>
      </c>
      <c r="E77" s="12">
        <f ca="1">+IF((OR(D77="",D77="-",D77=0)),"SIN INFORMACIÓN",TODAY()-D77)</f>
        <v>307</v>
      </c>
      <c r="F77" s="14" t="s">
        <v>154</v>
      </c>
    </row>
    <row r="78" spans="1:6" ht="102" x14ac:dyDescent="0.25">
      <c r="A78" s="2" t="s">
        <v>77</v>
      </c>
      <c r="B78" s="9" t="s">
        <v>162</v>
      </c>
      <c r="C78" s="9" t="s">
        <v>163</v>
      </c>
      <c r="D78" s="20">
        <v>45849</v>
      </c>
      <c r="E78" s="12">
        <f t="shared" ca="1" si="2"/>
        <v>269</v>
      </c>
      <c r="F78" s="14" t="s">
        <v>186</v>
      </c>
    </row>
    <row r="79" spans="1:6" ht="60" x14ac:dyDescent="0.25">
      <c r="A79" s="2" t="s">
        <v>78</v>
      </c>
      <c r="B79" s="9"/>
      <c r="C79" s="9"/>
      <c r="D79" s="20"/>
      <c r="E79" s="12" t="str">
        <f ca="1">+IF((OR(D79="",D79="-",D79=0)),"SIN INFORMACIÓN",TODAY()-D79)</f>
        <v>SIN INFORMACIÓN</v>
      </c>
      <c r="F79" s="30" t="s">
        <v>187</v>
      </c>
    </row>
    <row r="80" spans="1:6" x14ac:dyDescent="0.25">
      <c r="A80" s="2" t="s">
        <v>79</v>
      </c>
      <c r="B80" s="9" t="s">
        <v>188</v>
      </c>
      <c r="C80" s="9" t="s">
        <v>168</v>
      </c>
      <c r="D80" s="20">
        <v>45836</v>
      </c>
      <c r="E80" s="12">
        <f t="shared" ca="1" si="2"/>
        <v>282</v>
      </c>
      <c r="F80" s="14" t="s">
        <v>154</v>
      </c>
    </row>
    <row r="81" spans="1:6" x14ac:dyDescent="0.25">
      <c r="A81" s="2" t="s">
        <v>80</v>
      </c>
      <c r="B81" s="9" t="s">
        <v>155</v>
      </c>
      <c r="C81" s="9" t="s">
        <v>156</v>
      </c>
      <c r="D81" s="20">
        <v>45999</v>
      </c>
      <c r="E81" s="12">
        <f t="shared" ca="1" si="2"/>
        <v>119</v>
      </c>
      <c r="F81" s="14" t="s">
        <v>154</v>
      </c>
    </row>
    <row r="82" spans="1:6" x14ac:dyDescent="0.25">
      <c r="A82" s="2" t="s">
        <v>81</v>
      </c>
      <c r="B82" s="34" t="s">
        <v>162</v>
      </c>
      <c r="C82" s="35" t="s">
        <v>189</v>
      </c>
      <c r="D82" s="20">
        <v>45819</v>
      </c>
      <c r="E82" s="12">
        <f t="shared" ca="1" si="2"/>
        <v>299</v>
      </c>
      <c r="F82" s="14" t="s">
        <v>154</v>
      </c>
    </row>
    <row r="83" spans="1:6" x14ac:dyDescent="0.25">
      <c r="A83" s="2" t="s">
        <v>82</v>
      </c>
      <c r="B83" s="9" t="s">
        <v>155</v>
      </c>
      <c r="C83" s="9" t="s">
        <v>158</v>
      </c>
      <c r="D83" s="20">
        <v>45881</v>
      </c>
      <c r="E83" s="12">
        <f t="shared" ca="1" si="2"/>
        <v>237</v>
      </c>
      <c r="F83" s="14" t="s">
        <v>154</v>
      </c>
    </row>
    <row r="84" spans="1:6" x14ac:dyDescent="0.25">
      <c r="A84" s="2" t="s">
        <v>83</v>
      </c>
      <c r="B84" s="10" t="s">
        <v>155</v>
      </c>
      <c r="C84" s="10" t="s">
        <v>168</v>
      </c>
      <c r="D84" s="11">
        <v>46055</v>
      </c>
      <c r="E84" s="12">
        <f t="shared" ca="1" si="2"/>
        <v>63</v>
      </c>
      <c r="F84" s="14" t="s">
        <v>154</v>
      </c>
    </row>
    <row r="85" spans="1:6" x14ac:dyDescent="0.25">
      <c r="A85" s="2" t="s">
        <v>84</v>
      </c>
      <c r="B85" s="9" t="s">
        <v>162</v>
      </c>
      <c r="C85" s="9" t="s">
        <v>163</v>
      </c>
      <c r="D85" s="20">
        <v>45844</v>
      </c>
      <c r="E85" s="12">
        <f t="shared" ca="1" si="2"/>
        <v>274</v>
      </c>
      <c r="F85" s="14" t="s">
        <v>154</v>
      </c>
    </row>
    <row r="86" spans="1:6" x14ac:dyDescent="0.25">
      <c r="A86" s="2" t="s">
        <v>85</v>
      </c>
      <c r="B86" s="9" t="s">
        <v>155</v>
      </c>
      <c r="C86" s="9" t="s">
        <v>156</v>
      </c>
      <c r="D86" s="20">
        <v>46079</v>
      </c>
      <c r="E86" s="12">
        <f ca="1">+IF((OR(D86="",D86="-",D86=0)),"SIN INFORMACIÓN",TODAY()-D86)</f>
        <v>39</v>
      </c>
      <c r="F86" s="14" t="s">
        <v>154</v>
      </c>
    </row>
    <row r="87" spans="1:6" x14ac:dyDescent="0.25">
      <c r="A87" s="2" t="s">
        <v>86</v>
      </c>
      <c r="B87" s="9" t="s">
        <v>174</v>
      </c>
      <c r="C87" s="9" t="s">
        <v>175</v>
      </c>
      <c r="D87" s="11">
        <v>45688</v>
      </c>
      <c r="E87" s="12">
        <f t="shared" ca="1" si="2"/>
        <v>430</v>
      </c>
      <c r="F87" s="14" t="s">
        <v>154</v>
      </c>
    </row>
    <row r="88" spans="1:6" x14ac:dyDescent="0.25">
      <c r="A88" s="2" t="s">
        <v>87</v>
      </c>
      <c r="B88" s="9" t="s">
        <v>162</v>
      </c>
      <c r="C88" s="10" t="s">
        <v>190</v>
      </c>
      <c r="D88" s="11">
        <v>44871</v>
      </c>
      <c r="E88" s="12">
        <f t="shared" ca="1" si="2"/>
        <v>1247</v>
      </c>
      <c r="F88" s="14" t="s">
        <v>154</v>
      </c>
    </row>
    <row r="89" spans="1:6" ht="63.75" x14ac:dyDescent="0.25">
      <c r="A89" s="3" t="s">
        <v>88</v>
      </c>
      <c r="B89" s="15" t="s">
        <v>174</v>
      </c>
      <c r="C89" s="16" t="s">
        <v>175</v>
      </c>
      <c r="D89" s="17">
        <v>45722</v>
      </c>
      <c r="E89" s="18">
        <f t="shared" ca="1" si="2"/>
        <v>396</v>
      </c>
      <c r="F89" s="19" t="s">
        <v>191</v>
      </c>
    </row>
    <row r="90" spans="1:6" x14ac:dyDescent="0.25">
      <c r="A90" s="2" t="s">
        <v>89</v>
      </c>
      <c r="B90" s="9" t="s">
        <v>180</v>
      </c>
      <c r="C90" s="9" t="s">
        <v>181</v>
      </c>
      <c r="D90" s="20">
        <v>45725</v>
      </c>
      <c r="E90" s="12">
        <f t="shared" ca="1" si="2"/>
        <v>393</v>
      </c>
      <c r="F90" s="14" t="s">
        <v>154</v>
      </c>
    </row>
    <row r="91" spans="1:6" x14ac:dyDescent="0.25">
      <c r="A91" s="2" t="s">
        <v>90</v>
      </c>
      <c r="B91" s="9" t="s">
        <v>174</v>
      </c>
      <c r="C91" s="9" t="s">
        <v>175</v>
      </c>
      <c r="D91" s="20">
        <v>45625</v>
      </c>
      <c r="E91" s="12">
        <f t="shared" ca="1" si="2"/>
        <v>493</v>
      </c>
      <c r="F91" s="14" t="s">
        <v>154</v>
      </c>
    </row>
    <row r="92" spans="1:6" x14ac:dyDescent="0.25">
      <c r="A92" s="2" t="s">
        <v>91</v>
      </c>
      <c r="B92" s="9" t="s">
        <v>155</v>
      </c>
      <c r="C92" s="9" t="s">
        <v>168</v>
      </c>
      <c r="D92" s="20">
        <v>45872</v>
      </c>
      <c r="E92" s="12">
        <f t="shared" ca="1" si="2"/>
        <v>246</v>
      </c>
      <c r="F92" s="14" t="s">
        <v>154</v>
      </c>
    </row>
    <row r="93" spans="1:6" x14ac:dyDescent="0.25">
      <c r="A93" s="2" t="s">
        <v>92</v>
      </c>
      <c r="B93" s="9" t="s">
        <v>162</v>
      </c>
      <c r="C93" s="9" t="s">
        <v>163</v>
      </c>
      <c r="D93" s="20">
        <v>45852</v>
      </c>
      <c r="E93" s="12">
        <f ca="1">+IF((OR(D93="",D93="-",D93=0)),"SIN INFORMACIÓN",TODAY()-D93)</f>
        <v>266</v>
      </c>
      <c r="F93" s="14" t="s">
        <v>154</v>
      </c>
    </row>
    <row r="94" spans="1:6" x14ac:dyDescent="0.25">
      <c r="A94" s="2" t="s">
        <v>93</v>
      </c>
      <c r="B94" s="9" t="s">
        <v>174</v>
      </c>
      <c r="C94" s="9" t="s">
        <v>183</v>
      </c>
      <c r="D94" s="20">
        <v>45788</v>
      </c>
      <c r="E94" s="12">
        <f t="shared" ca="1" si="2"/>
        <v>330</v>
      </c>
      <c r="F94" s="14" t="s">
        <v>154</v>
      </c>
    </row>
    <row r="95" spans="1:6" x14ac:dyDescent="0.25">
      <c r="A95" s="2" t="s">
        <v>94</v>
      </c>
      <c r="B95" s="9" t="s">
        <v>155</v>
      </c>
      <c r="C95" s="9" t="s">
        <v>158</v>
      </c>
      <c r="D95" s="20">
        <v>45881</v>
      </c>
      <c r="E95" s="12">
        <f ca="1">+IF((OR(D95="",D95="-",D95=0)),"SIN INFORMACIÓN",TODAY()-D95)</f>
        <v>237</v>
      </c>
      <c r="F95" s="14" t="s">
        <v>154</v>
      </c>
    </row>
    <row r="96" spans="1:6" ht="38.25" x14ac:dyDescent="0.25">
      <c r="A96" s="2" t="s">
        <v>95</v>
      </c>
      <c r="B96" s="9"/>
      <c r="C96" s="9"/>
      <c r="D96" s="20"/>
      <c r="E96" s="12" t="str">
        <f t="shared" ca="1" si="2"/>
        <v>SIN INFORMACIÓN</v>
      </c>
      <c r="F96" s="14" t="s">
        <v>192</v>
      </c>
    </row>
    <row r="97" spans="1:6" x14ac:dyDescent="0.25">
      <c r="A97" s="2" t="s">
        <v>96</v>
      </c>
      <c r="B97" s="10" t="s">
        <v>155</v>
      </c>
      <c r="C97" s="10" t="s">
        <v>161</v>
      </c>
      <c r="D97" s="11">
        <v>46019</v>
      </c>
      <c r="E97" s="12">
        <f t="shared" ca="1" si="2"/>
        <v>99</v>
      </c>
      <c r="F97" s="14" t="s">
        <v>154</v>
      </c>
    </row>
    <row r="98" spans="1:6" x14ac:dyDescent="0.25">
      <c r="A98" s="2" t="s">
        <v>97</v>
      </c>
      <c r="B98" s="9" t="s">
        <v>162</v>
      </c>
      <c r="C98" s="9" t="s">
        <v>163</v>
      </c>
      <c r="D98" s="20">
        <v>45859</v>
      </c>
      <c r="E98" s="12">
        <f t="shared" ca="1" si="2"/>
        <v>259</v>
      </c>
      <c r="F98" s="14" t="s">
        <v>154</v>
      </c>
    </row>
    <row r="99" spans="1:6" x14ac:dyDescent="0.25">
      <c r="A99" s="2" t="s">
        <v>98</v>
      </c>
      <c r="B99" s="9" t="s">
        <v>155</v>
      </c>
      <c r="C99" s="9" t="s">
        <v>156</v>
      </c>
      <c r="D99" s="20">
        <v>45926</v>
      </c>
      <c r="E99" s="12">
        <f t="shared" ca="1" si="2"/>
        <v>192</v>
      </c>
      <c r="F99" s="14" t="s">
        <v>154</v>
      </c>
    </row>
    <row r="100" spans="1:6" x14ac:dyDescent="0.25">
      <c r="A100" s="2" t="s">
        <v>99</v>
      </c>
      <c r="B100" s="9" t="s">
        <v>162</v>
      </c>
      <c r="C100" s="9" t="s">
        <v>163</v>
      </c>
      <c r="D100" s="20">
        <v>45886</v>
      </c>
      <c r="E100" s="12">
        <f t="shared" ca="1" si="2"/>
        <v>232</v>
      </c>
      <c r="F100" s="14" t="s">
        <v>154</v>
      </c>
    </row>
    <row r="101" spans="1:6" x14ac:dyDescent="0.25">
      <c r="A101" s="2" t="s">
        <v>100</v>
      </c>
      <c r="B101" s="9" t="s">
        <v>162</v>
      </c>
      <c r="C101" s="9" t="s">
        <v>163</v>
      </c>
      <c r="D101" s="20">
        <v>45839</v>
      </c>
      <c r="E101" s="12">
        <f t="shared" ca="1" si="2"/>
        <v>279</v>
      </c>
      <c r="F101" s="14" t="s">
        <v>154</v>
      </c>
    </row>
    <row r="102" spans="1:6" x14ac:dyDescent="0.25">
      <c r="A102" s="4" t="s">
        <v>101</v>
      </c>
      <c r="B102" s="36" t="s">
        <v>162</v>
      </c>
      <c r="C102" s="36" t="s">
        <v>163</v>
      </c>
      <c r="D102" s="26">
        <v>45824</v>
      </c>
      <c r="E102" s="27">
        <f t="shared" ca="1" si="2"/>
        <v>294</v>
      </c>
      <c r="F102" s="14" t="s">
        <v>154</v>
      </c>
    </row>
    <row r="103" spans="1:6" ht="114.75" x14ac:dyDescent="0.25">
      <c r="A103" s="3" t="s">
        <v>102</v>
      </c>
      <c r="B103" s="15"/>
      <c r="C103" s="16"/>
      <c r="D103" s="17"/>
      <c r="E103" s="18" t="str">
        <f t="shared" ca="1" si="2"/>
        <v>SIN INFORMACIÓN</v>
      </c>
      <c r="F103" s="19" t="s">
        <v>193</v>
      </c>
    </row>
    <row r="104" spans="1:6" x14ac:dyDescent="0.25">
      <c r="A104" s="2" t="s">
        <v>103</v>
      </c>
      <c r="B104" s="22" t="s">
        <v>155</v>
      </c>
      <c r="C104" s="23" t="s">
        <v>156</v>
      </c>
      <c r="D104" s="11">
        <v>45922</v>
      </c>
      <c r="E104" s="12">
        <f t="shared" ca="1" si="2"/>
        <v>196</v>
      </c>
      <c r="F104" s="14" t="s">
        <v>154</v>
      </c>
    </row>
    <row r="105" spans="1:6" x14ac:dyDescent="0.25">
      <c r="A105" s="2" t="s">
        <v>104</v>
      </c>
      <c r="B105" s="9" t="s">
        <v>162</v>
      </c>
      <c r="C105" s="10" t="s">
        <v>194</v>
      </c>
      <c r="D105" s="11">
        <v>44710</v>
      </c>
      <c r="E105" s="12">
        <f t="shared" ca="1" si="2"/>
        <v>1408</v>
      </c>
      <c r="F105" s="14" t="s">
        <v>154</v>
      </c>
    </row>
    <row r="106" spans="1:6" x14ac:dyDescent="0.25">
      <c r="A106" s="2" t="s">
        <v>105</v>
      </c>
      <c r="B106" s="9" t="s">
        <v>155</v>
      </c>
      <c r="C106" s="9" t="s">
        <v>168</v>
      </c>
      <c r="D106" s="20">
        <v>45837</v>
      </c>
      <c r="E106" s="12">
        <f t="shared" ca="1" si="2"/>
        <v>281</v>
      </c>
      <c r="F106" s="14" t="s">
        <v>154</v>
      </c>
    </row>
    <row r="107" spans="1:6" ht="76.5" x14ac:dyDescent="0.25">
      <c r="A107" s="2" t="s">
        <v>106</v>
      </c>
      <c r="B107" s="10"/>
      <c r="C107" s="10"/>
      <c r="D107" s="11"/>
      <c r="E107" s="12" t="str">
        <f t="shared" ca="1" si="2"/>
        <v>SIN INFORMACIÓN</v>
      </c>
      <c r="F107" s="13" t="s">
        <v>195</v>
      </c>
    </row>
    <row r="108" spans="1:6" x14ac:dyDescent="0.25">
      <c r="A108" s="2" t="s">
        <v>107</v>
      </c>
      <c r="B108" s="9" t="s">
        <v>155</v>
      </c>
      <c r="C108" s="9" t="s">
        <v>156</v>
      </c>
      <c r="D108" s="20">
        <v>45987</v>
      </c>
      <c r="E108" s="12">
        <f ca="1">+IF((OR(D108="",D108="-",D108=0)),"SIN INFORMACIÓN",TODAY()-D108)</f>
        <v>131</v>
      </c>
      <c r="F108" s="14" t="s">
        <v>154</v>
      </c>
    </row>
    <row r="109" spans="1:6" x14ac:dyDescent="0.25">
      <c r="A109" s="2" t="s">
        <v>108</v>
      </c>
      <c r="B109" s="9" t="s">
        <v>155</v>
      </c>
      <c r="C109" s="10" t="s">
        <v>196</v>
      </c>
      <c r="D109" s="11">
        <v>46034</v>
      </c>
      <c r="E109" s="12">
        <f t="shared" ca="1" si="2"/>
        <v>84</v>
      </c>
      <c r="F109" s="14" t="s">
        <v>154</v>
      </c>
    </row>
    <row r="110" spans="1:6" x14ac:dyDescent="0.25">
      <c r="A110" s="2" t="s">
        <v>109</v>
      </c>
      <c r="B110" s="9" t="s">
        <v>174</v>
      </c>
      <c r="C110" s="9" t="s">
        <v>175</v>
      </c>
      <c r="D110" s="20">
        <v>45690</v>
      </c>
      <c r="E110" s="12">
        <f ca="1">+IF((OR(D110="",D110="-",D110=0)),"SIN INFORMACIÓN",TODAY()-D110)</f>
        <v>428</v>
      </c>
      <c r="F110" s="14" t="s">
        <v>154</v>
      </c>
    </row>
    <row r="111" spans="1:6" ht="89.25" x14ac:dyDescent="0.25">
      <c r="A111" s="2" t="s">
        <v>110</v>
      </c>
      <c r="B111" s="37"/>
      <c r="C111" s="38"/>
      <c r="D111" s="11"/>
      <c r="E111" s="12" t="str">
        <f t="shared" ref="E111:E147" ca="1" si="3">+IF((OR(D111="",D111="-",D111=0)),"SIN INFORMACIÓN",TODAY()-D111)</f>
        <v>SIN INFORMACIÓN</v>
      </c>
      <c r="F111" s="13" t="s">
        <v>197</v>
      </c>
    </row>
    <row r="112" spans="1:6" ht="89.25" x14ac:dyDescent="0.25">
      <c r="A112" s="2" t="s">
        <v>111</v>
      </c>
      <c r="B112" s="37"/>
      <c r="C112" s="10"/>
      <c r="D112" s="11"/>
      <c r="E112" s="12" t="str">
        <f t="shared" ca="1" si="3"/>
        <v>SIN INFORMACIÓN</v>
      </c>
      <c r="F112" s="13" t="s">
        <v>198</v>
      </c>
    </row>
    <row r="113" spans="1:6" ht="89.25" x14ac:dyDescent="0.25">
      <c r="A113" s="2" t="s">
        <v>112</v>
      </c>
      <c r="B113" s="10"/>
      <c r="C113" s="10"/>
      <c r="D113" s="11"/>
      <c r="E113" s="12" t="str">
        <f t="shared" ca="1" si="3"/>
        <v>SIN INFORMACIÓN</v>
      </c>
      <c r="F113" s="13" t="s">
        <v>199</v>
      </c>
    </row>
    <row r="114" spans="1:6" ht="51" x14ac:dyDescent="0.25">
      <c r="A114" s="2" t="s">
        <v>113</v>
      </c>
      <c r="B114" s="10"/>
      <c r="C114" s="10"/>
      <c r="D114" s="11"/>
      <c r="E114" s="12" t="str">
        <f t="shared" ca="1" si="3"/>
        <v>SIN INFORMACIÓN</v>
      </c>
      <c r="F114" s="13" t="s">
        <v>200</v>
      </c>
    </row>
    <row r="115" spans="1:6" ht="51" x14ac:dyDescent="0.25">
      <c r="A115" s="2" t="s">
        <v>114</v>
      </c>
      <c r="B115" s="10" t="s">
        <v>169</v>
      </c>
      <c r="C115" s="10" t="s">
        <v>201</v>
      </c>
      <c r="D115" s="11">
        <v>41902</v>
      </c>
      <c r="E115" s="12">
        <f t="shared" ca="1" si="3"/>
        <v>4216</v>
      </c>
      <c r="F115" s="13" t="s">
        <v>200</v>
      </c>
    </row>
    <row r="116" spans="1:6" x14ac:dyDescent="0.25">
      <c r="A116" s="2" t="s">
        <v>115</v>
      </c>
      <c r="B116" s="10" t="s">
        <v>155</v>
      </c>
      <c r="C116" s="10" t="s">
        <v>156</v>
      </c>
      <c r="D116" s="11">
        <v>46084</v>
      </c>
      <c r="E116" s="12">
        <f t="shared" ca="1" si="3"/>
        <v>34</v>
      </c>
      <c r="F116" s="39" t="s">
        <v>154</v>
      </c>
    </row>
    <row r="117" spans="1:6" ht="51" x14ac:dyDescent="0.25">
      <c r="A117" s="2" t="s">
        <v>116</v>
      </c>
      <c r="B117" s="10" t="s">
        <v>169</v>
      </c>
      <c r="C117" s="10" t="s">
        <v>202</v>
      </c>
      <c r="D117" s="11">
        <v>43071</v>
      </c>
      <c r="E117" s="12">
        <f t="shared" ca="1" si="3"/>
        <v>3047</v>
      </c>
      <c r="F117" s="13" t="s">
        <v>203</v>
      </c>
    </row>
    <row r="118" spans="1:6" ht="102" x14ac:dyDescent="0.25">
      <c r="A118" s="3" t="s">
        <v>117</v>
      </c>
      <c r="B118" s="15"/>
      <c r="C118" s="16"/>
      <c r="D118" s="17"/>
      <c r="E118" s="18" t="str">
        <f ca="1">+IF((OR(D118="",D118="-",D118=0)),"SIN INFORMACIÓN",TODAY()-D118)</f>
        <v>SIN INFORMACIÓN</v>
      </c>
      <c r="F118" s="19" t="s">
        <v>204</v>
      </c>
    </row>
    <row r="119" spans="1:6" ht="102" x14ac:dyDescent="0.25">
      <c r="A119" s="3" t="s">
        <v>118</v>
      </c>
      <c r="B119" s="15"/>
      <c r="C119" s="16"/>
      <c r="D119" s="17"/>
      <c r="E119" s="18" t="str">
        <f ca="1">+IF((OR(D119="",D119="-",D119=0)),"SIN INFORMACIÓN",TODAY()-D119)</f>
        <v>SIN INFORMACIÓN</v>
      </c>
      <c r="F119" s="19" t="s">
        <v>204</v>
      </c>
    </row>
    <row r="120" spans="1:6" ht="38.25" x14ac:dyDescent="0.25">
      <c r="A120" s="3" t="s">
        <v>119</v>
      </c>
      <c r="B120" s="15" t="s">
        <v>162</v>
      </c>
      <c r="C120" s="16" t="s">
        <v>205</v>
      </c>
      <c r="D120" s="17">
        <v>45146</v>
      </c>
      <c r="E120" s="18">
        <f t="shared" ca="1" si="3"/>
        <v>972</v>
      </c>
      <c r="F120" s="19" t="s">
        <v>206</v>
      </c>
    </row>
    <row r="121" spans="1:6" ht="89.25" x14ac:dyDescent="0.25">
      <c r="A121" s="3" t="s">
        <v>120</v>
      </c>
      <c r="B121" s="15" t="s">
        <v>162</v>
      </c>
      <c r="C121" s="16" t="s">
        <v>207</v>
      </c>
      <c r="D121" s="17">
        <v>45632</v>
      </c>
      <c r="E121" s="18">
        <f t="shared" ca="1" si="3"/>
        <v>486</v>
      </c>
      <c r="F121" s="19" t="s">
        <v>208</v>
      </c>
    </row>
    <row r="122" spans="1:6" ht="76.5" x14ac:dyDescent="0.25">
      <c r="A122" s="3" t="s">
        <v>121</v>
      </c>
      <c r="B122" s="15" t="s">
        <v>162</v>
      </c>
      <c r="C122" s="16" t="s">
        <v>185</v>
      </c>
      <c r="D122" s="17">
        <v>45663</v>
      </c>
      <c r="E122" s="18">
        <f t="shared" ca="1" si="3"/>
        <v>455</v>
      </c>
      <c r="F122" s="19" t="s">
        <v>209</v>
      </c>
    </row>
    <row r="123" spans="1:6" ht="76.5" x14ac:dyDescent="0.25">
      <c r="A123" s="3" t="s">
        <v>122</v>
      </c>
      <c r="B123" s="15" t="s">
        <v>162</v>
      </c>
      <c r="C123" s="16" t="s">
        <v>210</v>
      </c>
      <c r="D123" s="17">
        <v>45607</v>
      </c>
      <c r="E123" s="18">
        <f t="shared" ca="1" si="3"/>
        <v>511</v>
      </c>
      <c r="F123" s="19" t="s">
        <v>211</v>
      </c>
    </row>
    <row r="124" spans="1:6" ht="76.5" x14ac:dyDescent="0.25">
      <c r="A124" s="3" t="s">
        <v>123</v>
      </c>
      <c r="B124" s="15" t="s">
        <v>162</v>
      </c>
      <c r="C124" s="16" t="s">
        <v>163</v>
      </c>
      <c r="D124" s="17">
        <v>45569</v>
      </c>
      <c r="E124" s="18">
        <f t="shared" ca="1" si="3"/>
        <v>549</v>
      </c>
      <c r="F124" s="19" t="s">
        <v>211</v>
      </c>
    </row>
    <row r="125" spans="1:6" ht="89.25" x14ac:dyDescent="0.25">
      <c r="A125" s="3" t="s">
        <v>124</v>
      </c>
      <c r="B125" s="15" t="s">
        <v>162</v>
      </c>
      <c r="C125" s="16" t="s">
        <v>212</v>
      </c>
      <c r="D125" s="17">
        <v>45823</v>
      </c>
      <c r="E125" s="18">
        <f t="shared" ca="1" si="3"/>
        <v>295</v>
      </c>
      <c r="F125" s="19" t="s">
        <v>213</v>
      </c>
    </row>
    <row r="126" spans="1:6" ht="76.5" x14ac:dyDescent="0.25">
      <c r="A126" s="3" t="s">
        <v>125</v>
      </c>
      <c r="B126" s="15" t="s">
        <v>174</v>
      </c>
      <c r="C126" s="16" t="s">
        <v>175</v>
      </c>
      <c r="D126" s="17">
        <v>45777</v>
      </c>
      <c r="E126" s="18">
        <f t="shared" ca="1" si="3"/>
        <v>341</v>
      </c>
      <c r="F126" s="19" t="s">
        <v>214</v>
      </c>
    </row>
    <row r="127" spans="1:6" ht="76.5" x14ac:dyDescent="0.25">
      <c r="A127" s="3" t="s">
        <v>126</v>
      </c>
      <c r="B127" s="15" t="s">
        <v>180</v>
      </c>
      <c r="C127" s="16" t="s">
        <v>181</v>
      </c>
      <c r="D127" s="17">
        <v>45737</v>
      </c>
      <c r="E127" s="18">
        <f t="shared" ca="1" si="3"/>
        <v>381</v>
      </c>
      <c r="F127" s="19" t="s">
        <v>214</v>
      </c>
    </row>
    <row r="128" spans="1:6" x14ac:dyDescent="0.25">
      <c r="A128" s="2" t="s">
        <v>127</v>
      </c>
      <c r="B128" s="10" t="s">
        <v>155</v>
      </c>
      <c r="C128" s="10" t="s">
        <v>168</v>
      </c>
      <c r="D128" s="11">
        <v>46077</v>
      </c>
      <c r="E128" s="12">
        <f t="shared" ca="1" si="3"/>
        <v>41</v>
      </c>
      <c r="F128" s="13" t="s">
        <v>154</v>
      </c>
    </row>
    <row r="129" spans="1:6" x14ac:dyDescent="0.25">
      <c r="A129" s="2" t="s">
        <v>128</v>
      </c>
      <c r="B129" s="10" t="s">
        <v>155</v>
      </c>
      <c r="C129" s="10" t="s">
        <v>156</v>
      </c>
      <c r="D129" s="11">
        <v>46078</v>
      </c>
      <c r="E129" s="12">
        <f t="shared" ca="1" si="3"/>
        <v>40</v>
      </c>
      <c r="F129" s="13" t="s">
        <v>154</v>
      </c>
    </row>
    <row r="130" spans="1:6" x14ac:dyDescent="0.25">
      <c r="A130" s="2" t="s">
        <v>129</v>
      </c>
      <c r="B130" s="10" t="s">
        <v>155</v>
      </c>
      <c r="C130" s="10" t="s">
        <v>156</v>
      </c>
      <c r="D130" s="11">
        <v>46078</v>
      </c>
      <c r="E130" s="12">
        <f t="shared" ca="1" si="3"/>
        <v>40</v>
      </c>
      <c r="F130" s="13" t="s">
        <v>154</v>
      </c>
    </row>
    <row r="131" spans="1:6" x14ac:dyDescent="0.25">
      <c r="A131" s="2" t="s">
        <v>130</v>
      </c>
      <c r="B131" s="10" t="s">
        <v>152</v>
      </c>
      <c r="C131" s="10" t="s">
        <v>153</v>
      </c>
      <c r="D131" s="11">
        <v>46094</v>
      </c>
      <c r="E131" s="12">
        <f t="shared" ca="1" si="3"/>
        <v>24</v>
      </c>
      <c r="F131" s="13" t="s">
        <v>154</v>
      </c>
    </row>
    <row r="132" spans="1:6" x14ac:dyDescent="0.25">
      <c r="A132" s="2" t="s">
        <v>131</v>
      </c>
      <c r="B132" s="10" t="s">
        <v>155</v>
      </c>
      <c r="C132" s="10" t="s">
        <v>168</v>
      </c>
      <c r="D132" s="11">
        <v>46072</v>
      </c>
      <c r="E132" s="12">
        <f t="shared" ca="1" si="3"/>
        <v>46</v>
      </c>
      <c r="F132" s="13" t="s">
        <v>154</v>
      </c>
    </row>
    <row r="133" spans="1:6" x14ac:dyDescent="0.25">
      <c r="A133" s="2" t="s">
        <v>132</v>
      </c>
      <c r="B133" s="10" t="s">
        <v>155</v>
      </c>
      <c r="C133" s="10" t="s">
        <v>168</v>
      </c>
      <c r="D133" s="11">
        <v>46072</v>
      </c>
      <c r="E133" s="12">
        <f t="shared" ca="1" si="3"/>
        <v>46</v>
      </c>
      <c r="F133" s="13" t="s">
        <v>154</v>
      </c>
    </row>
    <row r="134" spans="1:6" x14ac:dyDescent="0.25">
      <c r="A134" s="2" t="s">
        <v>133</v>
      </c>
      <c r="B134" s="10" t="s">
        <v>155</v>
      </c>
      <c r="C134" s="10" t="s">
        <v>168</v>
      </c>
      <c r="D134" s="11">
        <v>46071</v>
      </c>
      <c r="E134" s="12">
        <f t="shared" ca="1" si="3"/>
        <v>47</v>
      </c>
      <c r="F134" s="13" t="s">
        <v>154</v>
      </c>
    </row>
    <row r="135" spans="1:6" x14ac:dyDescent="0.25">
      <c r="A135" s="2" t="s">
        <v>134</v>
      </c>
      <c r="B135" s="10" t="s">
        <v>152</v>
      </c>
      <c r="C135" s="10" t="s">
        <v>153</v>
      </c>
      <c r="D135" s="11">
        <v>46063</v>
      </c>
      <c r="E135" s="12">
        <f t="shared" ca="1" si="3"/>
        <v>55</v>
      </c>
      <c r="F135" s="13" t="s">
        <v>154</v>
      </c>
    </row>
    <row r="136" spans="1:6" x14ac:dyDescent="0.25">
      <c r="A136" s="2" t="s">
        <v>135</v>
      </c>
      <c r="B136" s="10" t="s">
        <v>152</v>
      </c>
      <c r="C136" s="10" t="s">
        <v>153</v>
      </c>
      <c r="D136" s="11">
        <v>46061</v>
      </c>
      <c r="E136" s="12">
        <f t="shared" ca="1" si="3"/>
        <v>57</v>
      </c>
      <c r="F136" s="13" t="s">
        <v>154</v>
      </c>
    </row>
    <row r="137" spans="1:6" x14ac:dyDescent="0.25">
      <c r="A137" s="2" t="s">
        <v>136</v>
      </c>
      <c r="B137" s="10" t="s">
        <v>155</v>
      </c>
      <c r="C137" s="10" t="s">
        <v>168</v>
      </c>
      <c r="D137" s="11">
        <v>46090</v>
      </c>
      <c r="E137" s="12">
        <f t="shared" ca="1" si="3"/>
        <v>28</v>
      </c>
      <c r="F137" s="13" t="s">
        <v>154</v>
      </c>
    </row>
    <row r="138" spans="1:6" x14ac:dyDescent="0.25">
      <c r="A138" s="2" t="s">
        <v>137</v>
      </c>
      <c r="B138" s="10" t="s">
        <v>155</v>
      </c>
      <c r="C138" s="10" t="s">
        <v>168</v>
      </c>
      <c r="D138" s="11">
        <v>46095</v>
      </c>
      <c r="E138" s="12">
        <f t="shared" ca="1" si="3"/>
        <v>23</v>
      </c>
      <c r="F138" s="13" t="s">
        <v>154</v>
      </c>
    </row>
    <row r="139" spans="1:6" ht="102" x14ac:dyDescent="0.25">
      <c r="A139" s="2" t="s">
        <v>138</v>
      </c>
      <c r="B139" s="10"/>
      <c r="C139" s="40"/>
      <c r="D139" s="41"/>
      <c r="E139" s="12" t="str">
        <f t="shared" ca="1" si="3"/>
        <v>SIN INFORMACIÓN</v>
      </c>
      <c r="F139" s="13" t="s">
        <v>215</v>
      </c>
    </row>
    <row r="140" spans="1:6" x14ac:dyDescent="0.25">
      <c r="A140" s="6" t="s">
        <v>139</v>
      </c>
      <c r="B140" s="32" t="s">
        <v>155</v>
      </c>
      <c r="C140" s="10" t="s">
        <v>196</v>
      </c>
      <c r="D140" s="42">
        <v>46094</v>
      </c>
      <c r="E140" s="43">
        <v>14</v>
      </c>
      <c r="F140" s="14" t="s">
        <v>154</v>
      </c>
    </row>
    <row r="141" spans="1:6" x14ac:dyDescent="0.25">
      <c r="A141" s="6" t="s">
        <v>140</v>
      </c>
      <c r="B141" s="32" t="s">
        <v>155</v>
      </c>
      <c r="C141" s="10" t="s">
        <v>196</v>
      </c>
      <c r="D141" s="42">
        <v>46101</v>
      </c>
      <c r="E141" s="43">
        <f t="shared" ref="E141" ca="1" si="4">+IF((OR(D141="",D141="-",D141=0)),"SIN INFORMACIÓN",TODAY()-D141)</f>
        <v>17</v>
      </c>
      <c r="F141" s="14" t="s">
        <v>154</v>
      </c>
    </row>
    <row r="142" spans="1:6" x14ac:dyDescent="0.25">
      <c r="A142" s="6" t="s">
        <v>141</v>
      </c>
      <c r="B142" s="32" t="s">
        <v>155</v>
      </c>
      <c r="C142" s="10" t="s">
        <v>196</v>
      </c>
      <c r="D142" s="42">
        <v>46102</v>
      </c>
      <c r="E142" s="43">
        <f t="shared" ca="1" si="3"/>
        <v>16</v>
      </c>
      <c r="F142" s="14" t="s">
        <v>154</v>
      </c>
    </row>
    <row r="143" spans="1:6" x14ac:dyDescent="0.25">
      <c r="A143" s="6" t="s">
        <v>142</v>
      </c>
      <c r="B143" s="44" t="s">
        <v>155</v>
      </c>
      <c r="C143" s="10" t="s">
        <v>161</v>
      </c>
      <c r="D143" s="42">
        <v>46108</v>
      </c>
      <c r="E143" s="43">
        <f t="shared" ca="1" si="3"/>
        <v>10</v>
      </c>
      <c r="F143" s="13" t="s">
        <v>216</v>
      </c>
    </row>
    <row r="144" spans="1:6" x14ac:dyDescent="0.25">
      <c r="A144" s="6" t="s">
        <v>143</v>
      </c>
      <c r="B144" s="32" t="s">
        <v>155</v>
      </c>
      <c r="C144" s="10" t="s">
        <v>196</v>
      </c>
      <c r="D144" s="42">
        <v>46106</v>
      </c>
      <c r="E144" s="43">
        <f t="shared" ca="1" si="3"/>
        <v>12</v>
      </c>
      <c r="F144" s="14" t="s">
        <v>154</v>
      </c>
    </row>
    <row r="145" spans="1:6" x14ac:dyDescent="0.25">
      <c r="A145" s="6" t="s">
        <v>144</v>
      </c>
      <c r="B145" s="44"/>
      <c r="C145" s="45"/>
      <c r="D145" s="42"/>
      <c r="E145" s="43" t="str">
        <f t="shared" ca="1" si="3"/>
        <v>SIN INFORMACIÓN</v>
      </c>
      <c r="F145" s="13" t="s">
        <v>216</v>
      </c>
    </row>
    <row r="146" spans="1:6" x14ac:dyDescent="0.25">
      <c r="A146" s="6" t="s">
        <v>145</v>
      </c>
      <c r="B146" s="44"/>
      <c r="C146" s="45"/>
      <c r="D146" s="42"/>
      <c r="E146" s="43" t="str">
        <f t="shared" ca="1" si="3"/>
        <v>SIN INFORMACIÓN</v>
      </c>
      <c r="F146" s="13" t="s">
        <v>216</v>
      </c>
    </row>
    <row r="147" spans="1:6" x14ac:dyDescent="0.25">
      <c r="A147" s="6" t="s">
        <v>146</v>
      </c>
      <c r="B147" s="44" t="s">
        <v>155</v>
      </c>
      <c r="C147" s="45" t="s">
        <v>161</v>
      </c>
      <c r="D147" s="42">
        <v>46108</v>
      </c>
      <c r="E147" s="43">
        <f t="shared" ca="1" si="3"/>
        <v>10</v>
      </c>
      <c r="F147" s="13" t="s">
        <v>154</v>
      </c>
    </row>
  </sheetData>
  <conditionalFormatting sqref="A2">
    <cfRule type="duplicateValues" dxfId="108" priority="48"/>
    <cfRule type="duplicateValues" dxfId="107" priority="49"/>
  </conditionalFormatting>
  <conditionalFormatting sqref="A3">
    <cfRule type="duplicateValues" dxfId="105" priority="33"/>
    <cfRule type="duplicateValues" dxfId="106" priority="34"/>
  </conditionalFormatting>
  <conditionalFormatting sqref="A4">
    <cfRule type="duplicateValues" dxfId="104" priority="46"/>
    <cfRule type="duplicateValues" dxfId="103" priority="47"/>
  </conditionalFormatting>
  <conditionalFormatting sqref="A5">
    <cfRule type="duplicateValues" dxfId="101" priority="44"/>
    <cfRule type="duplicateValues" dxfId="102" priority="45"/>
  </conditionalFormatting>
  <conditionalFormatting sqref="A6">
    <cfRule type="duplicateValues" dxfId="99" priority="41"/>
    <cfRule type="duplicateValues" dxfId="100" priority="42"/>
  </conditionalFormatting>
  <conditionalFormatting sqref="A7">
    <cfRule type="duplicateValues" dxfId="97" priority="39"/>
    <cfRule type="duplicateValues" dxfId="98" priority="40"/>
  </conditionalFormatting>
  <conditionalFormatting sqref="A8">
    <cfRule type="duplicateValues" dxfId="95" priority="37"/>
    <cfRule type="duplicateValues" dxfId="96" priority="38"/>
  </conditionalFormatting>
  <conditionalFormatting sqref="A9">
    <cfRule type="duplicateValues" dxfId="93" priority="22"/>
    <cfRule type="duplicateValues" dxfId="94" priority="23"/>
  </conditionalFormatting>
  <conditionalFormatting sqref="A10">
    <cfRule type="duplicateValues" dxfId="91" priority="35"/>
    <cfRule type="duplicateValues" dxfId="92" priority="36"/>
  </conditionalFormatting>
  <conditionalFormatting sqref="A11">
    <cfRule type="duplicateValues" dxfId="90" priority="43"/>
  </conditionalFormatting>
  <conditionalFormatting sqref="A13">
    <cfRule type="duplicateValues" dxfId="89" priority="30"/>
    <cfRule type="duplicateValues" dxfId="88" priority="31"/>
    <cfRule type="duplicateValues" dxfId="87" priority="32"/>
  </conditionalFormatting>
  <conditionalFormatting sqref="A14">
    <cfRule type="duplicateValues" dxfId="85" priority="24"/>
    <cfRule type="duplicateValues" dxfId="86" priority="25"/>
    <cfRule type="duplicateValues" dxfId="84" priority="26"/>
  </conditionalFormatting>
  <conditionalFormatting sqref="A15">
    <cfRule type="duplicateValues" dxfId="82" priority="27"/>
    <cfRule type="duplicateValues" dxfId="81" priority="28"/>
    <cfRule type="duplicateValues" dxfId="83" priority="29"/>
  </conditionalFormatting>
  <conditionalFormatting sqref="A20">
    <cfRule type="duplicateValues" dxfId="80" priority="78"/>
    <cfRule type="duplicateValues" dxfId="79" priority="79"/>
  </conditionalFormatting>
  <conditionalFormatting sqref="A20:A37 A11:A12 A39:A88 A104:A117 A120:A139 A142:A144 A90:A102">
    <cfRule type="duplicateValues" dxfId="78" priority="108"/>
  </conditionalFormatting>
  <conditionalFormatting sqref="A22">
    <cfRule type="duplicateValues" dxfId="77" priority="84"/>
  </conditionalFormatting>
  <conditionalFormatting sqref="A23">
    <cfRule type="duplicateValues" dxfId="75" priority="68"/>
    <cfRule type="duplicateValues" dxfId="76" priority="69"/>
  </conditionalFormatting>
  <conditionalFormatting sqref="A24">
    <cfRule type="duplicateValues" dxfId="74" priority="90"/>
  </conditionalFormatting>
  <conditionalFormatting sqref="A25">
    <cfRule type="duplicateValues" dxfId="73" priority="86"/>
  </conditionalFormatting>
  <conditionalFormatting sqref="A26">
    <cfRule type="duplicateValues" dxfId="71" priority="80"/>
    <cfRule type="duplicateValues" dxfId="72" priority="81"/>
  </conditionalFormatting>
  <conditionalFormatting sqref="A28">
    <cfRule type="duplicateValues" dxfId="70" priority="91"/>
  </conditionalFormatting>
  <conditionalFormatting sqref="A29">
    <cfRule type="duplicateValues" dxfId="68" priority="54"/>
    <cfRule type="duplicateValues" dxfId="69" priority="55"/>
  </conditionalFormatting>
  <conditionalFormatting sqref="A30">
    <cfRule type="duplicateValues" dxfId="67" priority="60"/>
    <cfRule type="duplicateValues" dxfId="66" priority="61"/>
  </conditionalFormatting>
  <conditionalFormatting sqref="A32">
    <cfRule type="duplicateValues" dxfId="65" priority="89"/>
  </conditionalFormatting>
  <conditionalFormatting sqref="A38">
    <cfRule type="duplicateValues" dxfId="62" priority="18"/>
    <cfRule type="duplicateValues" dxfId="63" priority="19"/>
    <cfRule type="duplicateValues" dxfId="64" priority="20"/>
  </conditionalFormatting>
  <conditionalFormatting sqref="A40">
    <cfRule type="duplicateValues" dxfId="60" priority="50"/>
    <cfRule type="duplicateValues" dxfId="61" priority="51"/>
  </conditionalFormatting>
  <conditionalFormatting sqref="A41">
    <cfRule type="duplicateValues" dxfId="59" priority="52"/>
    <cfRule type="duplicateValues" dxfId="58" priority="53"/>
  </conditionalFormatting>
  <conditionalFormatting sqref="A49">
    <cfRule type="duplicateValues" dxfId="57" priority="66"/>
    <cfRule type="duplicateValues" dxfId="56" priority="67"/>
  </conditionalFormatting>
  <conditionalFormatting sqref="A50">
    <cfRule type="duplicateValues" dxfId="55" priority="102"/>
  </conditionalFormatting>
  <conditionalFormatting sqref="A56">
    <cfRule type="duplicateValues" dxfId="54" priority="82"/>
    <cfRule type="duplicateValues" dxfId="53" priority="83"/>
  </conditionalFormatting>
  <conditionalFormatting sqref="A57">
    <cfRule type="duplicateValues" dxfId="52" priority="100"/>
  </conditionalFormatting>
  <conditionalFormatting sqref="A58">
    <cfRule type="duplicateValues" dxfId="50" priority="64"/>
    <cfRule type="duplicateValues" dxfId="51" priority="65"/>
  </conditionalFormatting>
  <conditionalFormatting sqref="A59">
    <cfRule type="duplicateValues" dxfId="49" priority="103"/>
  </conditionalFormatting>
  <conditionalFormatting sqref="A68">
    <cfRule type="duplicateValues" dxfId="48" priority="97"/>
  </conditionalFormatting>
  <conditionalFormatting sqref="A72">
    <cfRule type="duplicateValues" dxfId="47" priority="62"/>
    <cfRule type="duplicateValues" dxfId="46" priority="63"/>
  </conditionalFormatting>
  <conditionalFormatting sqref="A73">
    <cfRule type="duplicateValues" dxfId="45" priority="56"/>
    <cfRule type="duplicateValues" dxfId="44" priority="57"/>
  </conditionalFormatting>
  <conditionalFormatting sqref="A77">
    <cfRule type="duplicateValues" dxfId="43" priority="105"/>
  </conditionalFormatting>
  <conditionalFormatting sqref="A78">
    <cfRule type="duplicateValues" dxfId="42" priority="96"/>
  </conditionalFormatting>
  <conditionalFormatting sqref="A79">
    <cfRule type="duplicateValues" dxfId="41" priority="101"/>
  </conditionalFormatting>
  <conditionalFormatting sqref="A83">
    <cfRule type="duplicateValues" dxfId="40" priority="76"/>
    <cfRule type="duplicateValues" dxfId="39" priority="77"/>
  </conditionalFormatting>
  <conditionalFormatting sqref="A85">
    <cfRule type="duplicateValues" dxfId="38" priority="98"/>
  </conditionalFormatting>
  <conditionalFormatting sqref="A89">
    <cfRule type="duplicateValues" dxfId="37" priority="1"/>
    <cfRule type="duplicateValues" dxfId="35" priority="2"/>
    <cfRule type="duplicateValues" dxfId="36" priority="3"/>
  </conditionalFormatting>
  <conditionalFormatting sqref="A92">
    <cfRule type="duplicateValues" dxfId="34" priority="88"/>
  </conditionalFormatting>
  <conditionalFormatting sqref="A93">
    <cfRule type="duplicateValues" dxfId="33" priority="85"/>
  </conditionalFormatting>
  <conditionalFormatting sqref="A94">
    <cfRule type="duplicateValues" dxfId="32" priority="104"/>
  </conditionalFormatting>
  <conditionalFormatting sqref="A95">
    <cfRule type="duplicateValues" dxfId="31" priority="74"/>
    <cfRule type="duplicateValues" dxfId="30" priority="75"/>
  </conditionalFormatting>
  <conditionalFormatting sqref="A98">
    <cfRule type="duplicateValues" dxfId="29" priority="92"/>
  </conditionalFormatting>
  <conditionalFormatting sqref="A100">
    <cfRule type="duplicateValues" dxfId="27" priority="72"/>
    <cfRule type="duplicateValues" dxfId="28" priority="73"/>
  </conditionalFormatting>
  <conditionalFormatting sqref="A101">
    <cfRule type="duplicateValues" dxfId="26" priority="95"/>
  </conditionalFormatting>
  <conditionalFormatting sqref="A102">
    <cfRule type="duplicateValues" dxfId="24" priority="58"/>
    <cfRule type="duplicateValues" dxfId="25" priority="59"/>
  </conditionalFormatting>
  <conditionalFormatting sqref="A103">
    <cfRule type="duplicateValues" dxfId="23" priority="15"/>
    <cfRule type="duplicateValues" dxfId="22" priority="16"/>
    <cfRule type="duplicateValues" dxfId="21" priority="17"/>
  </conditionalFormatting>
  <conditionalFormatting sqref="A104:A105 A51:A55 A96:A97 A99 A31 A109:A117 A107 A80:A82 A69:A71 A27 A33:A37 A86:A88 A60:A67 A12 A21 A84 A39 A74:A76 A42:A48 A120:A124 A90:A91">
    <cfRule type="duplicateValues" dxfId="20" priority="107"/>
  </conditionalFormatting>
  <conditionalFormatting sqref="A106">
    <cfRule type="duplicateValues" dxfId="19" priority="99"/>
  </conditionalFormatting>
  <conditionalFormatting sqref="A108">
    <cfRule type="duplicateValues" dxfId="18" priority="87"/>
  </conditionalFormatting>
  <conditionalFormatting sqref="A118:A119 A16:A19">
    <cfRule type="duplicateValues" dxfId="17" priority="21"/>
  </conditionalFormatting>
  <conditionalFormatting sqref="A125">
    <cfRule type="duplicateValues" dxfId="15" priority="70"/>
    <cfRule type="duplicateValues" dxfId="16" priority="71"/>
  </conditionalFormatting>
  <conditionalFormatting sqref="A126">
    <cfRule type="duplicateValues" dxfId="14" priority="94"/>
  </conditionalFormatting>
  <conditionalFormatting sqref="A127">
    <cfRule type="duplicateValues" dxfId="13" priority="93"/>
  </conditionalFormatting>
  <conditionalFormatting sqref="A128:A139 A142:A144">
    <cfRule type="duplicateValues" dxfId="12" priority="109"/>
  </conditionalFormatting>
  <conditionalFormatting sqref="A140">
    <cfRule type="duplicateValues" dxfId="9" priority="12"/>
    <cfRule type="duplicateValues" dxfId="10" priority="13"/>
    <cfRule type="duplicateValues" dxfId="11" priority="14"/>
  </conditionalFormatting>
  <conditionalFormatting sqref="A141">
    <cfRule type="duplicateValues" dxfId="6" priority="9"/>
    <cfRule type="duplicateValues" dxfId="7" priority="10"/>
    <cfRule type="duplicateValues" dxfId="8" priority="11"/>
  </conditionalFormatting>
  <conditionalFormatting sqref="A145:A147">
    <cfRule type="duplicateValues" dxfId="4" priority="4"/>
    <cfRule type="duplicateValues" dxfId="2" priority="5"/>
    <cfRule type="duplicateValues" dxfId="3" priority="6"/>
    <cfRule type="duplicateValues" dxfId="5" priority="7"/>
  </conditionalFormatting>
  <conditionalFormatting sqref="A1:A144">
    <cfRule type="duplicateValues" dxfId="1" priority="8"/>
  </conditionalFormatting>
  <conditionalFormatting sqref="A57 A27:A28 A21:A22 A84:A88 A96:A99 A101 A39 A50:A55 A74:A82 A24:A25 A59:A71 A31:A37 A1 A104:A117 A42:A48 A12 A120:A124 A126:A139 A142:A144 A90:A94">
    <cfRule type="duplicateValues" dxfId="0" priority="106"/>
  </conditionalFormatting>
  <dataValidations count="1">
    <dataValidation type="list" allowBlank="1" showInputMessage="1" showErrorMessage="1" sqref="C71 C45:C58 C100:C103 C34:C36 C123 C88:C89 C64 C67 C85:C86 C27:C32 C75:C79 C105:C106 C97:C98 C43 C109:C121 C2:C20 C128:C140 C143 C145:C147" xr:uid="{EB3FD41B-2E82-480E-82EC-7CD38BB5B6AF}">
      <formula1>BOMBAS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2026-04-06T21:07:08Z</dcterms:created>
  <dcterms:modified xsi:type="dcterms:W3CDTF">2026-04-06T21:09:00Z</dcterms:modified>
</cp:coreProperties>
</file>